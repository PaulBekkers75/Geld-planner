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 Cashflow" sheetId="1" state="visible" r:id="rId1"/>
    <sheet name="Statistieken Cashflow" sheetId="2" state="visible" r:id="rId2"/>
    <sheet name="Overzicht Budgetruimte" sheetId="3" state="visible" r:id="rId3"/>
    <sheet name="Statistieken Budgetruim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0.0%"/>
    <numFmt numFmtId="166" formatCode="0.0 &quot;maanden&quot;"/>
    <numFmt numFmtId="167" formatCode="€ #,##0;[Red]-€ 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7F7F7F"/>
      <sz val="9"/>
    </font>
    <font>
      <name val="Calibri"/>
      <b val="1"/>
      <sz val="11"/>
    </font>
    <font>
      <name val="Calibri"/>
      <b val="1"/>
      <color rgb="001F3864"/>
      <sz val="12"/>
    </font>
    <font>
      <name val="Calibri"/>
      <b val="1"/>
      <color rgb="001F3864"/>
      <sz val="22"/>
    </font>
    <font>
      <name val="Calibri"/>
      <b val="1"/>
      <color rgb="00FFFFFF"/>
      <sz val="10"/>
    </font>
    <font>
      <name val="Calibri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4F6FA"/>
      </patternFill>
    </fill>
  </fills>
  <borders count="26">
    <border>
      <left/>
      <right/>
      <top/>
      <bottom/>
      <diagonal/>
    </border>
    <border>
      <left style="thin">
        <color rgb="00BF8F00"/>
      </left>
      <right style="thin">
        <color rgb="00BF8F00"/>
      </right>
      <top style="thin">
        <color rgb="00BF8F00"/>
      </top>
      <bottom style="thin">
        <color rgb="00BF8F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C9D2E3"/>
      </left>
      <right/>
      <top style="thin">
        <color rgb="00C9D2E3"/>
      </top>
      <bottom/>
    </border>
    <border>
      <left style="thin">
        <color rgb="00BF8F00"/>
      </left>
      <right style="thin">
        <color rgb="00BF8F00"/>
      </right>
      <top style="thin">
        <color rgb="00C9D2E3"/>
      </top>
      <bottom style="thin">
        <color rgb="00BF8F00"/>
      </bottom>
    </border>
    <border>
      <left/>
      <right style="thin">
        <color rgb="00C9D2E3"/>
      </right>
      <top style="thin">
        <color rgb="00C9D2E3"/>
      </top>
      <bottom/>
    </border>
    <border>
      <left style="thin">
        <color rgb="00C9D2E3"/>
      </left>
      <right/>
      <top/>
      <bottom/>
    </border>
    <border>
      <left/>
      <right style="thin">
        <color rgb="00C9D2E3"/>
      </right>
      <top/>
      <bottom/>
    </border>
    <border>
      <left style="thin">
        <color rgb="00C9D2E3"/>
      </left>
      <right/>
      <top/>
      <bottom style="thin">
        <color rgb="00C9D2E3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C9D2E3"/>
      </bottom>
    </border>
    <border>
      <left/>
      <right style="thin">
        <color rgb="00C9D2E3"/>
      </right>
      <top/>
      <bottom style="thin">
        <color rgb="00C9D2E3"/>
      </bottom>
    </border>
    <border>
      <left style="thin">
        <color rgb="00C9D2E3"/>
      </left>
      <right style="thin">
        <color rgb="00C9D2E3"/>
      </right>
      <top style="thin">
        <color rgb="00C9D2E3"/>
      </top>
      <bottom style="thin">
        <color rgb="00C9D2E3"/>
      </bottom>
    </border>
    <border>
      <left style="thin">
        <color rgb="00BFBFBF"/>
      </left>
      <right style="thin">
        <color rgb="00BFBFBF"/>
      </right>
      <top style="thin">
        <color rgb="00C9D2E3"/>
      </top>
      <bottom style="thin">
        <color rgb="00BFBFBF"/>
      </bottom>
    </border>
    <border>
      <left/>
      <right/>
      <top/>
      <bottom style="thin">
        <color rgb="00C9D2E3"/>
      </bottom>
    </border>
    <border>
      <left style="thin">
        <color rgb="00C9D2E3"/>
      </left>
      <right/>
      <top style="thin">
        <color rgb="00C9D2E3"/>
      </top>
      <bottom style="thin">
        <color rgb="00C9D2E3"/>
      </bottom>
    </border>
    <border>
      <left style="thin">
        <color rgb="00BF8F00"/>
      </left>
      <right style="thin">
        <color rgb="00BF8F00"/>
      </right>
      <top style="thin">
        <color rgb="00C9D2E3"/>
      </top>
      <bottom style="thin">
        <color rgb="00C9D2E3"/>
      </bottom>
    </border>
    <border>
      <left/>
      <right style="thin">
        <color rgb="00C9D2E3"/>
      </right>
      <top style="thin">
        <color rgb="00C9D2E3"/>
      </top>
      <bottom style="thin">
        <color rgb="00C9D2E3"/>
      </bottom>
    </border>
    <border>
      <left style="medium">
        <color rgb="00C9D2E3"/>
      </left>
      <right/>
      <top style="medium">
        <color rgb="00C9D2E3"/>
      </top>
      <bottom/>
    </border>
    <border>
      <left/>
      <right style="medium">
        <color rgb="00C9D2E3"/>
      </right>
      <top style="medium">
        <color rgb="00C9D2E3"/>
      </top>
      <bottom/>
    </border>
    <border>
      <left style="medium">
        <color rgb="00C9D2E3"/>
      </left>
      <right/>
      <top/>
      <bottom/>
    </border>
    <border>
      <left/>
      <right style="medium">
        <color rgb="00C9D2E3"/>
      </right>
      <top/>
      <bottom/>
    </border>
    <border>
      <left style="medium">
        <color rgb="00C9D2E3"/>
      </left>
      <right/>
      <top/>
      <bottom style="medium">
        <color rgb="00C9D2E3"/>
      </bottom>
    </border>
    <border>
      <left/>
      <right style="medium">
        <color rgb="00C9D2E3"/>
      </right>
      <top/>
      <bottom style="medium">
        <color rgb="00C9D2E3"/>
      </bottom>
    </border>
    <border>
      <left/>
      <right/>
      <top style="medium">
        <color rgb="00C9D2E3"/>
      </top>
      <bottom/>
    </border>
    <border>
      <left/>
      <right/>
      <top/>
      <bottom style="medium">
        <color rgb="00C9D2E3"/>
      </bottom>
    </border>
    <border>
      <left style="thin">
        <color rgb="00BF8F00"/>
      </left>
      <right style="thin">
        <color rgb="00BF8F00"/>
      </right>
      <top style="thin">
        <color rgb="00BF8F00"/>
      </top>
      <bottom style="thin">
        <color rgb="00C9D2E3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9" fillId="2" borderId="17" applyAlignment="1" pivotButton="0" quotePrefix="0" xfId="0">
      <alignment horizontal="center" vertical="center"/>
    </xf>
    <xf numFmtId="0" fontId="0" fillId="0" borderId="18" pivotButton="0" quotePrefix="0" xfId="0"/>
    <xf numFmtId="167" fontId="8" fillId="6" borderId="19" applyAlignment="1" pivotButton="0" quotePrefix="0" xfId="0">
      <alignment horizontal="center" vertical="center"/>
    </xf>
    <xf numFmtId="0" fontId="0" fillId="6" borderId="20" pivotButton="0" quotePrefix="0" xfId="0"/>
    <xf numFmtId="165" fontId="8" fillId="6" borderId="19" applyAlignment="1" pivotButton="0" quotePrefix="0" xfId="0">
      <alignment horizontal="center" vertical="center"/>
    </xf>
    <xf numFmtId="0" fontId="0" fillId="6" borderId="21" pivotButton="0" quotePrefix="0" xfId="0"/>
    <xf numFmtId="0" fontId="0" fillId="6" borderId="2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6" borderId="3" applyAlignment="1" pivotButton="0" quotePrefix="0" xfId="0">
      <alignment vertical="center" indent="1"/>
    </xf>
    <xf numFmtId="164" fontId="4" fillId="4" borderId="4" applyAlignment="1" applyProtection="1" pivotButton="0" quotePrefix="0" xfId="0">
      <alignment horizontal="right" vertical="center" indent="1"/>
      <protection locked="0" hidden="0"/>
    </xf>
    <xf numFmtId="0" fontId="5" fillId="6" borderId="5" applyAlignment="1" pivotButton="0" quotePrefix="0" xfId="0">
      <alignment vertical="center" wrapText="1" indent="1"/>
    </xf>
    <xf numFmtId="0" fontId="4" fillId="6" borderId="6" applyAlignment="1" pivotButton="0" quotePrefix="0" xfId="0">
      <alignment vertical="center" indent="1"/>
    </xf>
    <xf numFmtId="164" fontId="4" fillId="4" borderId="1" applyAlignment="1" applyProtection="1" pivotButton="0" quotePrefix="0" xfId="0">
      <alignment horizontal="right" vertical="center" indent="1"/>
      <protection locked="0" hidden="0"/>
    </xf>
    <xf numFmtId="0" fontId="5" fillId="6" borderId="7" applyAlignment="1" pivotButton="0" quotePrefix="0" xfId="0">
      <alignment vertical="center" wrapText="1" indent="1"/>
    </xf>
    <xf numFmtId="0" fontId="0" fillId="6" borderId="7" pivotButton="0" quotePrefix="0" xfId="0"/>
    <xf numFmtId="0" fontId="6" fillId="6" borderId="8" applyAlignment="1" pivotButton="0" quotePrefix="0" xfId="0">
      <alignment vertical="center" wrapText="1" indent="1"/>
    </xf>
    <xf numFmtId="164" fontId="6" fillId="5" borderId="9" applyAlignment="1" pivotButton="0" quotePrefix="0" xfId="0">
      <alignment horizontal="right" vertical="center" indent="1"/>
    </xf>
    <xf numFmtId="0" fontId="0" fillId="6" borderId="10" pivotButton="0" quotePrefix="0" xfId="0"/>
    <xf numFmtId="0" fontId="0" fillId="6" borderId="5" pivotButton="0" quotePrefix="0" xfId="0"/>
    <xf numFmtId="0" fontId="6" fillId="6" borderId="3" applyAlignment="1" pivotButton="0" quotePrefix="0" xfId="0">
      <alignment vertical="center" wrapText="1" indent="1"/>
    </xf>
    <xf numFmtId="164" fontId="6" fillId="5" borderId="12" applyAlignment="1" pivotButton="0" quotePrefix="0" xfId="0">
      <alignment horizontal="right" vertical="center" indent="1"/>
    </xf>
    <xf numFmtId="0" fontId="6" fillId="6" borderId="6" applyAlignment="1" pivotButton="0" quotePrefix="0" xfId="0">
      <alignment vertical="center" wrapText="1" indent="1"/>
    </xf>
    <xf numFmtId="164" fontId="6" fillId="5" borderId="2" applyAlignment="1" pivotButton="0" quotePrefix="0" xfId="0">
      <alignment horizontal="right" vertical="center" indent="1"/>
    </xf>
    <xf numFmtId="0" fontId="7" fillId="6" borderId="6" applyAlignment="1" pivotButton="0" quotePrefix="0" xfId="0">
      <alignment vertical="center" wrapText="1" indent="1"/>
    </xf>
    <xf numFmtId="164" fontId="8" fillId="6" borderId="11" applyAlignment="1" pivotButton="0" quotePrefix="0" xfId="0">
      <alignment horizontal="right" vertical="center" indent="1"/>
    </xf>
    <xf numFmtId="165" fontId="6" fillId="5" borderId="2" applyAlignment="1" pivotButton="0" quotePrefix="0" xfId="0">
      <alignment horizontal="right" vertical="center" indent="1"/>
    </xf>
    <xf numFmtId="166" fontId="6" fillId="5" borderId="2" applyAlignment="1" pivotButton="0" quotePrefix="0" xfId="0">
      <alignment horizontal="right" vertical="center" indent="1"/>
    </xf>
    <xf numFmtId="0" fontId="0" fillId="6" borderId="6" pivotButton="0" quotePrefix="0" xfId="0"/>
    <xf numFmtId="0" fontId="0" fillId="6" borderId="8" pivotButton="0" quotePrefix="0" xfId="0"/>
    <xf numFmtId="0" fontId="0" fillId="0" borderId="13" pivotButton="0" quotePrefix="0" xfId="0"/>
    <xf numFmtId="0" fontId="4" fillId="6" borderId="14" applyAlignment="1" pivotButton="0" quotePrefix="0" xfId="0">
      <alignment vertical="center" indent="1"/>
    </xf>
    <xf numFmtId="164" fontId="4" fillId="4" borderId="15" applyAlignment="1" applyProtection="1" pivotButton="0" quotePrefix="0" xfId="0">
      <alignment horizontal="right" vertical="center" indent="1"/>
      <protection locked="0" hidden="0"/>
    </xf>
    <xf numFmtId="0" fontId="5" fillId="6" borderId="16" applyAlignment="1" pivotButton="0" quotePrefix="0" xfId="0">
      <alignment vertical="center" wrapText="1" indent="1"/>
    </xf>
    <xf numFmtId="0" fontId="5" fillId="0" borderId="0" applyAlignment="1" pivotButton="0" quotePrefix="0" xfId="0">
      <alignment vertical="center" indent="1"/>
    </xf>
    <xf numFmtId="0" fontId="0" fillId="0" borderId="23" pivotButton="0" quotePrefix="0" xfId="0"/>
    <xf numFmtId="0" fontId="0" fillId="6" borderId="0" pivotButton="0" quotePrefix="0" xfId="0"/>
    <xf numFmtId="0" fontId="0" fillId="6" borderId="19" pivotButton="0" quotePrefix="0" xfId="0"/>
    <xf numFmtId="0" fontId="10" fillId="6" borderId="21" applyAlignment="1" pivotButton="0" quotePrefix="0" xfId="0">
      <alignment horizontal="center" vertical="center"/>
    </xf>
    <xf numFmtId="0" fontId="0" fillId="6" borderId="24" pivotButton="0" quotePrefix="0" xfId="0"/>
    <xf numFmtId="0" fontId="9" fillId="6" borderId="17" applyAlignment="1" pivotButton="0" quotePrefix="0" xfId="0">
      <alignment horizontal="center" vertical="center"/>
    </xf>
    <xf numFmtId="0" fontId="9" fillId="6" borderId="18" applyAlignment="1" pivotButton="0" quotePrefix="0" xfId="0">
      <alignment horizontal="center" vertical="center"/>
    </xf>
    <xf numFmtId="0" fontId="4" fillId="6" borderId="19" applyAlignment="1" pivotButton="0" quotePrefix="0" xfId="0">
      <alignment vertical="center" indent="1"/>
    </xf>
    <xf numFmtId="167" fontId="4" fillId="6" borderId="20" applyAlignment="1" pivotButton="0" quotePrefix="0" xfId="0">
      <alignment horizontal="right" vertical="center" indent="1"/>
    </xf>
    <xf numFmtId="0" fontId="4" fillId="6" borderId="21" applyAlignment="1" pivotButton="0" quotePrefix="0" xfId="0">
      <alignment vertical="center" indent="1"/>
    </xf>
    <xf numFmtId="167" fontId="4" fillId="6" borderId="22" applyAlignment="1" pivotButton="0" quotePrefix="0" xfId="0">
      <alignment horizontal="right" vertical="center" indent="1"/>
    </xf>
    <xf numFmtId="0" fontId="9" fillId="6" borderId="23" applyAlignment="1" pivotButton="0" quotePrefix="0" xfId="0">
      <alignment horizontal="center" vertical="center"/>
    </xf>
    <xf numFmtId="167" fontId="4" fillId="6" borderId="0" applyAlignment="1" pivotButton="0" quotePrefix="0" xfId="0">
      <alignment horizontal="right" vertical="center" indent="1"/>
    </xf>
    <xf numFmtId="167" fontId="4" fillId="6" borderId="24" applyAlignment="1" pivotButton="0" quotePrefix="0" xfId="0">
      <alignment horizontal="right" vertical="center" indent="1"/>
    </xf>
    <xf numFmtId="0" fontId="7" fillId="6" borderId="14" applyAlignment="1" pivotButton="0" quotePrefix="0" xfId="0">
      <alignment vertical="center" wrapText="1" indent="1"/>
    </xf>
    <xf numFmtId="164" fontId="7" fillId="6" borderId="11" applyAlignment="1" pivotButton="0" quotePrefix="0" xfId="0">
      <alignment horizontal="right" vertical="center" indent="1"/>
    </xf>
    <xf numFmtId="0" fontId="4" fillId="6" borderId="8" applyAlignment="1" pivotButton="0" quotePrefix="0" xfId="0">
      <alignment vertical="center" indent="1"/>
    </xf>
    <xf numFmtId="164" fontId="4" fillId="4" borderId="25" applyAlignment="1" applyProtection="1" pivotButton="0" quotePrefix="0" xfId="0">
      <alignment horizontal="right" vertical="center" indent="1"/>
      <protection locked="0" hidden="0"/>
    </xf>
    <xf numFmtId="0" fontId="5" fillId="6" borderId="10" applyAlignment="1" pivotButton="0" quotePrefix="0" xfId="0">
      <alignment vertical="center" wrapText="1" indent="1"/>
    </xf>
    <xf numFmtId="0" fontId="10" fillId="6" borderId="8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name val="Calibri"/>
        <b val="1"/>
        <color rgb="00C0392B"/>
        <sz val="22"/>
      </font>
      <fill>
        <patternFill patternType="solid">
          <fgColor rgb="00FBE2E1"/>
        </patternFill>
      </fill>
    </dxf>
    <dxf>
      <font>
        <name val="Calibri"/>
        <b val="1"/>
        <color rgb="002E7D46"/>
        <sz val="22"/>
      </font>
      <fill>
        <patternFill patternType="solid">
          <fgColor rgb="00E5F3E8"/>
        </patternFill>
      </fill>
    </dxf>
    <dxf>
      <fill>
        <patternFill patternType="solid">
          <fgColor rgb="00C0392B"/>
        </patternFill>
      </fill>
    </dxf>
    <dxf>
      <fill>
        <patternFill patternType="solid">
          <fgColor rgb="002E7D46"/>
        </patternFill>
      </fill>
    </dxf>
    <dxf>
      <font>
        <name val="Calibri"/>
        <b val="1"/>
        <color rgb="00C0392B"/>
        <sz val="22"/>
      </font>
    </dxf>
    <dxf>
      <font>
        <name val="Calibri"/>
        <b val="1"/>
        <color rgb="002E7D46"/>
        <sz val="10"/>
      </font>
      <fill>
        <patternFill patternType="solid">
          <fgColor rgb="00E5F3E8"/>
        </patternFill>
      </fill>
    </dxf>
    <dxf>
      <font>
        <name val="Calibri"/>
        <b val="1"/>
        <color rgb="00C0392B"/>
        <sz val="10"/>
      </font>
      <fill>
        <patternFill patternType="solid">
          <fgColor rgb="00FBE2E1"/>
        </patternFill>
      </fill>
    </dxf>
    <dxf>
      <font>
        <name val="Calibri"/>
        <b val="1"/>
        <color rgb="002E7D46"/>
        <sz val="2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Uitgaven per categorie</a:t>
            </a:r>
          </a:p>
        </rich>
      </tx>
    </title>
    <plotArea>
      <doughnutChart>
        <varyColors val="1"/>
        <ser>
          <idx val="0"/>
          <order val="0"/>
          <tx>
            <strRef>
              <f>'Statistieken Cashflow'!C11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2E5C8A"/>
              </a:solidFill>
              <a:ln>
                <a:prstDash val="solid"/>
              </a:ln>
            </spPr>
          </dPt>
          <dPt>
            <idx val="2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3"/>
            <spPr>
              <a:solidFill>
                <a:srgbClr val="8DB4E2"/>
              </a:solidFill>
              <a:ln>
                <a:prstDash val="solid"/>
              </a:ln>
            </spPr>
          </dPt>
          <dPt>
            <idx val="4"/>
            <spPr>
              <a:solidFill>
                <a:srgbClr val="BF8F00"/>
              </a:solidFill>
              <a:ln>
                <a:prstDash val="solid"/>
              </a:ln>
            </spPr>
          </dPt>
          <dPt>
            <idx val="5"/>
            <spPr>
              <a:solidFill>
                <a:srgbClr val="D9A441"/>
              </a:solidFill>
              <a:ln>
                <a:prstDash val="solid"/>
              </a:ln>
            </spPr>
          </dPt>
          <dPt>
            <idx val="6"/>
            <spPr>
              <a:solidFill>
                <a:srgbClr val="6B7A99"/>
              </a:solidFill>
              <a:ln>
                <a:prstDash val="solid"/>
              </a:ln>
            </spPr>
          </dPt>
          <cat>
            <numRef>
              <f>'Statistieken Cashflow'!$B$12:$B$18</f>
            </numRef>
          </cat>
          <val>
            <numRef>
              <f>'Statistieken Cashflow'!$C$12:$C$18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Inkomsten vs. uitgaven per maand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'Statistieken Cashflow'!C22</f>
            </strRef>
          </tx>
          <spPr>
            <a:solidFill>
              <a:srgbClr val="2E7D46"/>
            </a:solidFill>
            <a:ln>
              <a:prstDash val="solid"/>
            </a:ln>
          </spPr>
          <cat>
            <numRef>
              <f>'Statistieken Cashflow'!$B$23:$B$34</f>
            </numRef>
          </cat>
          <val>
            <numRef>
              <f>'Statistieken Cashflow'!$C$23:$C$34</f>
            </numRef>
          </val>
        </ser>
        <ser>
          <idx val="1"/>
          <order val="1"/>
          <tx>
            <strRef>
              <f>'Statistieken Cashflow'!D22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'Statistieken Cashflow'!$B$23:$B$34</f>
            </numRef>
          </cat>
          <val>
            <numRef>
              <f>'Statistieken Cashflow'!$D$23:$D$34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Bedrag per maand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Sparen / investeren / vrij besteedbaar</a:t>
            </a:r>
          </a:p>
        </rich>
      </tx>
    </title>
    <plotArea>
      <doughnutChart>
        <varyColors val="1"/>
        <ser>
          <idx val="0"/>
          <order val="0"/>
          <tx>
            <strRef>
              <f>'Statistieken Budgetruimte'!C10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2E5C8A"/>
              </a:solidFill>
              <a:ln>
                <a:prstDash val="solid"/>
              </a:ln>
            </spPr>
          </dPt>
          <dPt>
            <idx val="2"/>
            <spPr>
              <a:solidFill>
                <a:srgbClr val="4F81BD"/>
              </a:solidFill>
              <a:ln>
                <a:prstDash val="solid"/>
              </a:ln>
            </spPr>
          </dPt>
          <cat>
            <numRef>
              <f>'Statistieken Budgetruimte'!$B$11:$B$13</f>
            </numRef>
          </cat>
          <val>
            <numRef>
              <f>'Statistieken Budgetruimte'!$C$11:$C$13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Budgetruimte per maand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'Statistieken Budgetruimte'!C17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'Statistieken Budgetruimte'!$B$18:$B$29</f>
            </numRef>
          </cat>
          <val>
            <numRef>
              <f>'Statistieken Budgetruimte'!$C$18:$C$29</f>
            </numRef>
          </val>
        </ser>
        <ser>
          <idx val="1"/>
          <order val="1"/>
          <tx>
            <strRef>
              <f>'Statistieken Budgetruimte'!D17</f>
            </strRef>
          </tx>
          <spPr>
            <a:solidFill>
              <a:srgbClr val="2E5C8A"/>
            </a:solidFill>
            <a:ln>
              <a:prstDash val="solid"/>
            </a:ln>
          </spPr>
          <cat>
            <numRef>
              <f>'Statistieken Budgetruimte'!$B$18:$B$29</f>
            </numRef>
          </cat>
          <val>
            <numRef>
              <f>'Statistieken Budgetruimte'!$D$18:$D$29</f>
            </numRef>
          </val>
        </ser>
        <ser>
          <idx val="2"/>
          <order val="2"/>
          <tx>
            <strRef>
              <f>'Statistieken Budgetruimte'!E17</f>
            </strRef>
          </tx>
          <spPr>
            <a:solidFill>
              <a:srgbClr val="4F81BD"/>
            </a:solidFill>
            <a:ln>
              <a:prstDash val="solid"/>
            </a:ln>
          </spPr>
          <cat>
            <numRef>
              <f>'Statistieken Budgetruimte'!$B$18:$B$29</f>
            </numRef>
          </cat>
          <val>
            <numRef>
              <f>'Statistieken Budgetruimte'!$E$18:$E$29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Bedrag per maand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29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L5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38" customWidth="1" min="4" max="4"/>
    <col width="15" customWidth="1" min="5" max="5"/>
    <col width="15" customWidth="1" min="6" max="6"/>
    <col width="4" customWidth="1" min="7" max="7"/>
    <col width="15" customWidth="1" min="8" max="8"/>
    <col width="15" customWidth="1" min="9" max="9"/>
    <col width="4" customWidth="1" min="10" max="10"/>
    <col width="15" customWidth="1" min="11" max="11"/>
    <col width="15" customWidth="1" min="12" max="12"/>
    <col width="2" customWidth="1" min="13" max="13"/>
  </cols>
  <sheetData>
    <row r="1"/>
    <row r="2" ht="32" customHeight="1">
      <c r="B2" s="1" t="inlineStr">
        <is>
          <t>Overzicht Cashflow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B3" s="3" t="inlineStr">
        <is>
          <t>Jouw maandelijkse inkomsten, lasten en overschot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5" ht="22" customHeight="1">
      <c r="B5" s="4" t="inlineStr">
        <is>
          <t>TOTALE INKOMSTEN</t>
        </is>
      </c>
      <c r="C5" s="5" t="n"/>
      <c r="E5" s="4" t="inlineStr">
        <is>
          <t>TOTALE UITGAVEN</t>
        </is>
      </c>
      <c r="F5" s="5" t="n"/>
      <c r="H5" s="4" t="inlineStr">
        <is>
          <t>OVERSCHOT / TEKORT</t>
        </is>
      </c>
      <c r="I5" s="5" t="n"/>
      <c r="K5" s="4" t="inlineStr">
        <is>
          <t>SPAARQUOTE</t>
        </is>
      </c>
      <c r="L5" s="5" t="n"/>
    </row>
    <row r="6" ht="24" customHeight="1">
      <c r="B6" s="6">
        <f>C42</f>
        <v/>
      </c>
      <c r="C6" s="7" t="n"/>
      <c r="E6" s="6">
        <f>C43</f>
        <v/>
      </c>
      <c r="F6" s="7" t="n"/>
      <c r="H6" s="6">
        <f>C44</f>
        <v/>
      </c>
      <c r="I6" s="7" t="n"/>
      <c r="K6" s="8">
        <f>C45</f>
        <v/>
      </c>
      <c r="L6" s="7" t="n"/>
    </row>
    <row r="7" ht="24" customHeight="1">
      <c r="B7" s="9" t="n"/>
      <c r="C7" s="10" t="n"/>
      <c r="E7" s="9" t="n"/>
      <c r="F7" s="10" t="n"/>
      <c r="H7" s="9" t="n"/>
      <c r="I7" s="10" t="n"/>
      <c r="K7" s="9" t="n"/>
      <c r="L7" s="10" t="n"/>
    </row>
    <row r="9" ht="20" customHeight="1">
      <c r="B9" s="11" t="inlineStr">
        <is>
          <t>■  INKOMSTEN PER MAAND</t>
        </is>
      </c>
      <c r="C9" s="12" t="n"/>
      <c r="D9" s="12" t="n"/>
    </row>
    <row r="10" ht="17" customHeight="1">
      <c r="B10" s="13" t="inlineStr">
        <is>
          <t>Nettosalaris persoon 1</t>
        </is>
      </c>
      <c r="C10" s="14" t="n">
        <v>3600</v>
      </c>
      <c r="D10" s="15" t="inlineStr">
        <is>
          <t>Bedrag dat op je rekening staat</t>
        </is>
      </c>
    </row>
    <row r="11" ht="17" customHeight="1">
      <c r="B11" s="16" t="inlineStr">
        <is>
          <t>Nettosalaris persoon 2</t>
        </is>
      </c>
      <c r="C11" s="17" t="n">
        <v>0</v>
      </c>
      <c r="D11" s="18" t="inlineStr">
        <is>
          <t>Laat op 0 staan als je alleenstaand bent</t>
        </is>
      </c>
    </row>
    <row r="12" ht="17" customHeight="1">
      <c r="B12" s="16" t="inlineStr">
        <is>
          <t>Freelance-inkomsten (netto)</t>
        </is>
      </c>
      <c r="C12" s="17" t="n">
        <v>0</v>
      </c>
      <c r="D12" s="18" t="inlineStr">
        <is>
          <t>Netto bedrag, na belasting</t>
        </is>
      </c>
    </row>
    <row r="13" ht="17" customHeight="1">
      <c r="B13" s="16" t="inlineStr">
        <is>
          <t>Toeslagen (huur-, zorg-, kinderopvang)</t>
        </is>
      </c>
      <c r="C13" s="17" t="n">
        <v>0</v>
      </c>
      <c r="D13" s="19" t="n"/>
    </row>
    <row r="14" ht="17" customHeight="1">
      <c r="B14" s="16" t="inlineStr">
        <is>
          <t>Huurinkomsten / alimentatie</t>
        </is>
      </c>
      <c r="C14" s="17" t="n">
        <v>0</v>
      </c>
      <c r="D14" s="19" t="n"/>
    </row>
    <row r="15" ht="17" customHeight="1">
      <c r="B15" s="16" t="inlineStr">
        <is>
          <t>Overige inkomsten</t>
        </is>
      </c>
      <c r="C15" s="17" t="n">
        <v>0</v>
      </c>
      <c r="D15" s="19" t="n"/>
    </row>
    <row r="16" ht="17" customHeight="1">
      <c r="B16" s="20" t="inlineStr">
        <is>
          <t>Totale inkomsten</t>
        </is>
      </c>
      <c r="C16" s="21">
        <f>SUM(C10:C15)</f>
        <v/>
      </c>
      <c r="D16" s="22" t="n"/>
    </row>
    <row r="18" ht="20" customHeight="1">
      <c r="B18" s="11" t="inlineStr">
        <is>
          <t>■  VASTE LASTEN PER MAAND</t>
        </is>
      </c>
      <c r="C18" s="12" t="n"/>
      <c r="D18" s="12" t="n"/>
    </row>
    <row r="19" ht="17" customHeight="1">
      <c r="B19" s="13" t="inlineStr">
        <is>
          <t>Huur of hypotheek</t>
        </is>
      </c>
      <c r="C19" s="14" t="n">
        <v>1250</v>
      </c>
      <c r="D19" s="23" t="n"/>
    </row>
    <row r="20" ht="17" customHeight="1">
      <c r="B20" s="16" t="inlineStr">
        <is>
          <t>Energie, water en warmte</t>
        </is>
      </c>
      <c r="C20" s="17" t="n">
        <v>180</v>
      </c>
      <c r="D20" s="19" t="n"/>
    </row>
    <row r="21" ht="17" customHeight="1">
      <c r="B21" s="16" t="inlineStr">
        <is>
          <t>Zorgverzekering</t>
        </is>
      </c>
      <c r="C21" s="17" t="n">
        <v>290</v>
      </c>
      <c r="D21" s="18" t="inlineStr">
        <is>
          <t>Beide partners samen</t>
        </is>
      </c>
    </row>
    <row r="22" ht="17" customHeight="1">
      <c r="B22" s="16" t="inlineStr">
        <is>
          <t>Overige verzekeringen</t>
        </is>
      </c>
      <c r="C22" s="17" t="n">
        <v>65</v>
      </c>
      <c r="D22" s="18" t="inlineStr">
        <is>
          <t>Inboedel, aansprakelijkheid, opstal, ORV</t>
        </is>
      </c>
    </row>
    <row r="23" ht="17" customHeight="1">
      <c r="B23" s="16" t="inlineStr">
        <is>
          <t>Gemeentelijke belastingen en waterschap</t>
        </is>
      </c>
      <c r="C23" s="17" t="n">
        <v>60</v>
      </c>
      <c r="D23" s="18" t="inlineStr">
        <is>
          <t>Jaarbedrag gedeeld door 12</t>
        </is>
      </c>
    </row>
    <row r="24" ht="17" customHeight="1">
      <c r="B24" s="16" t="inlineStr">
        <is>
          <t>Internet, tv en telefoon</t>
        </is>
      </c>
      <c r="C24" s="17" t="n">
        <v>70</v>
      </c>
      <c r="D24" s="19" t="n"/>
    </row>
    <row r="25" ht="17" customHeight="1">
      <c r="B25" s="16" t="inlineStr">
        <is>
          <t>Abonnementen en lidmaatschappen</t>
        </is>
      </c>
      <c r="C25" s="17" t="n">
        <v>45</v>
      </c>
      <c r="D25" s="18" t="inlineStr">
        <is>
          <t>Streaming, sportschool, kranten</t>
        </is>
      </c>
    </row>
    <row r="26" ht="17" customHeight="1">
      <c r="B26" s="16" t="inlineStr">
        <is>
          <t>Aflossing leningen en studieschuld</t>
        </is>
      </c>
      <c r="C26" s="17" t="n">
        <v>0</v>
      </c>
      <c r="D26" s="19" t="n"/>
    </row>
    <row r="27" ht="17" customHeight="1">
      <c r="B27" s="16" t="inlineStr">
        <is>
          <t>Kinderopvang / school</t>
        </is>
      </c>
      <c r="C27" s="17" t="n">
        <v>0</v>
      </c>
      <c r="D27" s="19" t="n"/>
    </row>
    <row r="28" ht="17" customHeight="1">
      <c r="B28" s="16" t="inlineStr">
        <is>
          <t>Overige vaste lasten</t>
        </is>
      </c>
      <c r="C28" s="17" t="n">
        <v>0</v>
      </c>
      <c r="D28" s="19" t="n"/>
    </row>
    <row r="29" ht="17" customHeight="1">
      <c r="B29" s="20" t="inlineStr">
        <is>
          <t>Totaal vaste lasten</t>
        </is>
      </c>
      <c r="C29" s="21">
        <f>SUM(C19:C28)</f>
        <v/>
      </c>
      <c r="D29" s="22" t="n"/>
    </row>
    <row r="31" ht="20" customHeight="1">
      <c r="B31" s="11" t="inlineStr">
        <is>
          <t>■  VARIABELE KOSTEN PER MAAND</t>
        </is>
      </c>
      <c r="C31" s="12" t="n"/>
      <c r="D31" s="12" t="n"/>
    </row>
    <row r="32" ht="17" customHeight="1">
      <c r="B32" s="13" t="inlineStr">
        <is>
          <t>Boodschappen</t>
        </is>
      </c>
      <c r="C32" s="14" t="n">
        <v>550</v>
      </c>
      <c r="D32" s="23" t="n"/>
    </row>
    <row r="33" ht="17" customHeight="1">
      <c r="B33" s="16" t="inlineStr">
        <is>
          <t>Vervoer (brandstof, OV, onderhoud)</t>
        </is>
      </c>
      <c r="C33" s="17" t="n">
        <v>200</v>
      </c>
      <c r="D33" s="19" t="n"/>
    </row>
    <row r="34" ht="17" customHeight="1">
      <c r="B34" s="16" t="inlineStr">
        <is>
          <t>Vrije tijd, uitgaan en horeca</t>
        </is>
      </c>
      <c r="C34" s="17" t="n">
        <v>200</v>
      </c>
      <c r="D34" s="19" t="n"/>
    </row>
    <row r="35" ht="17" customHeight="1">
      <c r="B35" s="16" t="inlineStr">
        <is>
          <t>Kleding en persoonlijke verzorging</t>
        </is>
      </c>
      <c r="C35" s="17" t="n">
        <v>100</v>
      </c>
      <c r="D35" s="19" t="n"/>
    </row>
    <row r="36" ht="17" customHeight="1">
      <c r="B36" s="16" t="inlineStr">
        <is>
          <t>Zorgkosten (eigen risico, tandarts)</t>
        </is>
      </c>
      <c r="C36" s="17" t="n">
        <v>40</v>
      </c>
      <c r="D36" s="19" t="n"/>
    </row>
    <row r="37" ht="17" customHeight="1">
      <c r="B37" s="16" t="inlineStr">
        <is>
          <t>Vakantie (gereserveerd per maand)</t>
        </is>
      </c>
      <c r="C37" s="17" t="n">
        <v>150</v>
      </c>
      <c r="D37" s="19" t="n"/>
    </row>
    <row r="38" ht="17" customHeight="1">
      <c r="B38" s="16" t="inlineStr">
        <is>
          <t>Cadeaus, goede doelen en overig</t>
        </is>
      </c>
      <c r="C38" s="17" t="n">
        <v>75</v>
      </c>
      <c r="D38" s="19" t="n"/>
    </row>
    <row r="39" ht="17" customHeight="1">
      <c r="B39" s="20" t="inlineStr">
        <is>
          <t>Totaal variabele kosten</t>
        </is>
      </c>
      <c r="C39" s="21">
        <f>SUM(C32:C38)</f>
        <v/>
      </c>
      <c r="D39" s="22" t="n"/>
    </row>
    <row r="41" ht="20" customHeight="1">
      <c r="B41" s="11" t="inlineStr">
        <is>
          <t>■  RESULTAAT</t>
        </is>
      </c>
      <c r="C41" s="12" t="n"/>
      <c r="D41" s="12" t="n"/>
    </row>
    <row r="42" ht="17" customHeight="1">
      <c r="B42" s="24" t="inlineStr">
        <is>
          <t>Totale inkomsten</t>
        </is>
      </c>
      <c r="C42" s="25">
        <f>C16</f>
        <v/>
      </c>
      <c r="D42" s="23" t="n"/>
    </row>
    <row r="43" ht="17" customHeight="1">
      <c r="B43" s="26" t="inlineStr">
        <is>
          <t>Totale uitgaven</t>
        </is>
      </c>
      <c r="C43" s="27">
        <f>C29+C39</f>
        <v/>
      </c>
      <c r="D43" s="19" t="n"/>
    </row>
    <row r="44" ht="30" customHeight="1">
      <c r="B44" s="28" t="inlineStr">
        <is>
          <t>Maandelijks overschot / tekort</t>
        </is>
      </c>
      <c r="C44" s="29">
        <f>C42-C43</f>
        <v/>
      </c>
      <c r="D44" s="18" t="inlineStr">
        <is>
          <t>Positief = je houdt over. Negatief = je komt tekort.</t>
        </is>
      </c>
    </row>
    <row r="45" ht="17" customHeight="1">
      <c r="B45" s="26" t="inlineStr">
        <is>
          <t>Spaarquote</t>
        </is>
      </c>
      <c r="C45" s="30">
        <f>IF(C42=0,"",C44/C42)</f>
        <v/>
      </c>
      <c r="D45" s="18" t="inlineStr">
        <is>
          <t>Deel van je inkomen dat je overhoudt</t>
        </is>
      </c>
    </row>
    <row r="46" ht="17" customHeight="1">
      <c r="B46" s="26" t="inlineStr">
        <is>
          <t>Buffer: hoeveel maanden uitgaven heb je?</t>
        </is>
      </c>
      <c r="C46" s="31">
        <f>IF(C29+C39=0,"",C48/(C29+C39))</f>
        <v/>
      </c>
      <c r="D46" s="18" t="inlineStr">
        <is>
          <t>Vuistregel: drie tot zes maanden</t>
        </is>
      </c>
    </row>
    <row r="47">
      <c r="B47" s="32" t="n"/>
      <c r="D47" s="19" t="n"/>
    </row>
    <row r="48" ht="17" customHeight="1">
      <c r="B48" s="16" t="inlineStr">
        <is>
          <t>Huidig spaargeld (buffer)</t>
        </is>
      </c>
      <c r="C48" s="17" t="n">
        <v>5000</v>
      </c>
      <c r="D48" s="18" t="inlineStr">
        <is>
          <t>Wordt gebruikt voor de bufferberekening hierboven</t>
        </is>
      </c>
    </row>
    <row r="49">
      <c r="B49" s="33" t="n"/>
      <c r="C49" s="34" t="n"/>
      <c r="D49" s="22" t="n"/>
    </row>
    <row r="50" ht="20" customHeight="1">
      <c r="B50" s="11" t="inlineStr">
        <is>
          <t>■  VERGELIJKING MET VORIGE MAAND</t>
        </is>
      </c>
      <c r="C50" s="12" t="n"/>
      <c r="D50" s="12" t="n"/>
    </row>
    <row r="51" ht="17" customHeight="1">
      <c r="B51" s="35" t="inlineStr">
        <is>
          <t>Overschot / tekort vorige maand</t>
        </is>
      </c>
      <c r="C51" s="36" t="n">
        <v>260</v>
      </c>
      <c r="D51" s="37" t="inlineStr">
        <is>
          <t>Gebruikt op tabblad 'Statistieken Cashflow' voor de maand-op-maandvergelijking</t>
        </is>
      </c>
    </row>
    <row r="53">
      <c r="B53" s="38" t="inlineStr">
        <is>
          <t>Deze tool is uitsluitend bedoeld voor informatieve doeleinden en biedt geen financieel advies.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6">
    <mergeCell ref="E6:F7"/>
    <mergeCell ref="B31:D31"/>
    <mergeCell ref="H6:I7"/>
    <mergeCell ref="B41:D41"/>
    <mergeCell ref="B5:C5"/>
    <mergeCell ref="K6:L7"/>
    <mergeCell ref="B50:D50"/>
    <mergeCell ref="B3:L3"/>
    <mergeCell ref="B2:L2"/>
    <mergeCell ref="B9:D9"/>
    <mergeCell ref="B18:D18"/>
    <mergeCell ref="B6:C7"/>
    <mergeCell ref="E5:F5"/>
    <mergeCell ref="B53:D53"/>
    <mergeCell ref="H5:I5"/>
    <mergeCell ref="K5:L5"/>
  </mergeCells>
  <conditionalFormatting sqref="C44">
    <cfRule type="expression" priority="1" dxfId="0">
      <formula>C44&lt;0</formula>
    </cfRule>
    <cfRule type="expression" priority="2" dxfId="1">
      <formula>C44&gt;=0</formula>
    </cfRule>
  </conditionalFormatting>
  <conditionalFormatting sqref="H5:I5">
    <cfRule type="expression" priority="3" dxfId="2">
      <formula>C44&lt;0</formula>
    </cfRule>
    <cfRule type="expression" priority="4" dxfId="3">
      <formula>C44&gt;=0</formula>
    </cfRule>
  </conditionalFormatting>
  <conditionalFormatting sqref="H6">
    <cfRule type="expression" priority="5" dxfId="4">
      <formula>C44&lt;0</formula>
    </cfRule>
  </conditionalFormatting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B1:N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3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" customWidth="1" min="15" max="15"/>
  </cols>
  <sheetData>
    <row r="1"/>
    <row r="2" ht="32" customHeight="1">
      <c r="B2" s="1" t="inlineStr">
        <is>
          <t>Statistieken Cashflow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8" customHeight="1">
      <c r="B3" s="3" t="inlineStr">
        <is>
          <t>Deze pagina leest automatisch uit 'Overzicht Cashflow' — geen eigen invoer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5" ht="22" customHeight="1">
      <c r="B5" s="4" t="inlineStr">
        <is>
          <t>OVERSCHOT T.O.V. VORIGE MAAND</t>
        </is>
      </c>
      <c r="C5" s="39" t="n"/>
      <c r="D5" s="39" t="n"/>
      <c r="E5" s="5" t="n"/>
    </row>
    <row r="6" ht="24" customHeight="1">
      <c r="B6" s="6">
        <f>'Overzicht Cashflow'!C44</f>
        <v/>
      </c>
      <c r="C6" s="40" t="n"/>
      <c r="D6" s="40" t="n"/>
      <c r="E6" s="7" t="n"/>
    </row>
    <row r="7" ht="24" customHeight="1">
      <c r="B7" s="41" t="n"/>
      <c r="C7" s="40" t="n"/>
      <c r="D7" s="40" t="n"/>
      <c r="E7" s="7" t="n"/>
    </row>
    <row r="8" ht="18" customHeight="1">
      <c r="B8" s="42">
        <f>IF('Overzicht Cashflow'!C51=0,"Geen vergelijking beschikbaar",CONCATENATE(IF(('Overzicht Cashflow'!C44-'Overzicht Cashflow'!C51)&gt;=0,"▲ +","▼ "),TEXT(ABS(('Overzicht Cashflow'!C44-'Overzicht Cashflow'!C51)),"€ #,##0"),"  (",TEXT(('Overzicht Cashflow'!C44-'Overzicht Cashflow'!C51)/ABS('Overzicht Cashflow'!C51),"0.0%"),")"))</f>
        <v/>
      </c>
      <c r="C8" s="43" t="n"/>
      <c r="D8" s="43" t="n"/>
      <c r="E8" s="10" t="n"/>
    </row>
    <row r="10" ht="20" customHeight="1">
      <c r="B10" s="11" t="inlineStr">
        <is>
          <t>■  UITGAVEN PER CATEGORIE</t>
        </is>
      </c>
      <c r="C10" s="12" t="n"/>
    </row>
    <row r="11">
      <c r="B11" s="44" t="inlineStr">
        <is>
          <t>Categorie</t>
        </is>
      </c>
      <c r="C11" s="45" t="inlineStr">
        <is>
          <t>Bedrag / mnd</t>
        </is>
      </c>
    </row>
    <row r="12">
      <c r="B12" s="46" t="inlineStr">
        <is>
          <t>Wonen</t>
        </is>
      </c>
      <c r="C12" s="47">
        <f>'Overzicht Cashflow'!C19+'Overzicht Cashflow'!C20+'Overzicht Cashflow'!C23</f>
        <v/>
      </c>
    </row>
    <row r="13">
      <c r="B13" s="46" t="inlineStr">
        <is>
          <t>Verzekeringen</t>
        </is>
      </c>
      <c r="C13" s="47">
        <f>'Overzicht Cashflow'!C21+'Overzicht Cashflow'!C22</f>
        <v/>
      </c>
    </row>
    <row r="14">
      <c r="B14" s="46" t="inlineStr">
        <is>
          <t>Abonnementen</t>
        </is>
      </c>
      <c r="C14" s="47">
        <f>'Overzicht Cashflow'!C24+'Overzicht Cashflow'!C25</f>
        <v/>
      </c>
    </row>
    <row r="15">
      <c r="B15" s="46" t="inlineStr">
        <is>
          <t>Schulden &amp; zorgplicht</t>
        </is>
      </c>
      <c r="C15" s="47">
        <f>'Overzicht Cashflow'!C26+'Overzicht Cashflow'!C27+'Overzicht Cashflow'!C28</f>
        <v/>
      </c>
    </row>
    <row r="16">
      <c r="B16" s="46" t="inlineStr">
        <is>
          <t>Boodschappen</t>
        </is>
      </c>
      <c r="C16" s="47">
        <f>'Overzicht Cashflow'!C32</f>
        <v/>
      </c>
    </row>
    <row r="17">
      <c r="B17" s="46" t="inlineStr">
        <is>
          <t>Vervoer</t>
        </is>
      </c>
      <c r="C17" s="47">
        <f>'Overzicht Cashflow'!C33</f>
        <v/>
      </c>
    </row>
    <row r="18">
      <c r="B18" s="48" t="inlineStr">
        <is>
          <t>Vrije tijd &amp; overig</t>
        </is>
      </c>
      <c r="C18" s="49">
        <f>'Overzicht Cashflow'!C34+'Overzicht Cashflow'!C35+'Overzicht Cashflow'!C36+'Overzicht Cashflow'!C37+'Overzicht Cashflow'!C38</f>
        <v/>
      </c>
    </row>
    <row r="20" ht="20" customHeight="1">
      <c r="B20" s="11" t="inlineStr">
        <is>
          <t>■  INKOMSTEN VS. UITGAVEN — PROGNOSE PER MAAND</t>
        </is>
      </c>
      <c r="C20" s="12" t="n"/>
      <c r="D20" s="12" t="n"/>
    </row>
    <row r="21">
      <c r="B21" s="38" t="inlineStr">
        <is>
          <t>Gebaseerd op je huidige maandbudget uit 'Overzicht Cashflow', vlak doorgetrokken over het jaar.</t>
        </is>
      </c>
    </row>
    <row r="22">
      <c r="B22" s="44" t="inlineStr">
        <is>
          <t>Maand</t>
        </is>
      </c>
      <c r="C22" s="50" t="inlineStr">
        <is>
          <t>Inkomsten</t>
        </is>
      </c>
      <c r="D22" s="45" t="inlineStr">
        <is>
          <t>Uitgaven</t>
        </is>
      </c>
    </row>
    <row r="23">
      <c r="B23" s="46" t="inlineStr">
        <is>
          <t>Jan</t>
        </is>
      </c>
      <c r="C23" s="51">
        <f>'Overzicht Cashflow'!C42</f>
        <v/>
      </c>
      <c r="D23" s="47">
        <f>'Overzicht Cashflow'!C43</f>
        <v/>
      </c>
    </row>
    <row r="24">
      <c r="B24" s="46" t="inlineStr">
        <is>
          <t>Feb</t>
        </is>
      </c>
      <c r="C24" s="51">
        <f>'Overzicht Cashflow'!C42</f>
        <v/>
      </c>
      <c r="D24" s="47">
        <f>'Overzicht Cashflow'!C43</f>
        <v/>
      </c>
    </row>
    <row r="25">
      <c r="B25" s="46" t="inlineStr">
        <is>
          <t>Mrt</t>
        </is>
      </c>
      <c r="C25" s="51">
        <f>'Overzicht Cashflow'!C42</f>
        <v/>
      </c>
      <c r="D25" s="47">
        <f>'Overzicht Cashflow'!C43</f>
        <v/>
      </c>
    </row>
    <row r="26">
      <c r="B26" s="46" t="inlineStr">
        <is>
          <t>Apr</t>
        </is>
      </c>
      <c r="C26" s="51">
        <f>'Overzicht Cashflow'!C42</f>
        <v/>
      </c>
      <c r="D26" s="47">
        <f>'Overzicht Cashflow'!C43</f>
        <v/>
      </c>
    </row>
    <row r="27">
      <c r="B27" s="46" t="inlineStr">
        <is>
          <t>Mei</t>
        </is>
      </c>
      <c r="C27" s="51">
        <f>'Overzicht Cashflow'!C42</f>
        <v/>
      </c>
      <c r="D27" s="47">
        <f>'Overzicht Cashflow'!C43</f>
        <v/>
      </c>
    </row>
    <row r="28">
      <c r="B28" s="46" t="inlineStr">
        <is>
          <t>Jun</t>
        </is>
      </c>
      <c r="C28" s="51">
        <f>'Overzicht Cashflow'!C42</f>
        <v/>
      </c>
      <c r="D28" s="47">
        <f>'Overzicht Cashflow'!C43</f>
        <v/>
      </c>
    </row>
    <row r="29">
      <c r="B29" s="46" t="inlineStr">
        <is>
          <t>Jul</t>
        </is>
      </c>
      <c r="C29" s="51">
        <f>'Overzicht Cashflow'!C42</f>
        <v/>
      </c>
      <c r="D29" s="47">
        <f>'Overzicht Cashflow'!C43</f>
        <v/>
      </c>
    </row>
    <row r="30">
      <c r="B30" s="46" t="inlineStr">
        <is>
          <t>Aug</t>
        </is>
      </c>
      <c r="C30" s="51">
        <f>'Overzicht Cashflow'!C42</f>
        <v/>
      </c>
      <c r="D30" s="47">
        <f>'Overzicht Cashflow'!C43</f>
        <v/>
      </c>
    </row>
    <row r="31">
      <c r="B31" s="46" t="inlineStr">
        <is>
          <t>Sep</t>
        </is>
      </c>
      <c r="C31" s="51">
        <f>'Overzicht Cashflow'!C42</f>
        <v/>
      </c>
      <c r="D31" s="47">
        <f>'Overzicht Cashflow'!C43</f>
        <v/>
      </c>
    </row>
    <row r="32">
      <c r="B32" s="46" t="inlineStr">
        <is>
          <t>Okt</t>
        </is>
      </c>
      <c r="C32" s="51">
        <f>'Overzicht Cashflow'!C42</f>
        <v/>
      </c>
      <c r="D32" s="47">
        <f>'Overzicht Cashflow'!C43</f>
        <v/>
      </c>
    </row>
    <row r="33">
      <c r="B33" s="46" t="inlineStr">
        <is>
          <t>Nov</t>
        </is>
      </c>
      <c r="C33" s="51">
        <f>'Overzicht Cashflow'!C42</f>
        <v/>
      </c>
      <c r="D33" s="47">
        <f>'Overzicht Cashflow'!C43</f>
        <v/>
      </c>
    </row>
    <row r="34">
      <c r="B34" s="48" t="inlineStr">
        <is>
          <t>Dec</t>
        </is>
      </c>
      <c r="C34" s="52">
        <f>'Overzicht Cashflow'!C42</f>
        <v/>
      </c>
      <c r="D34" s="49">
        <f>'Overzicht Cashflow'!C43</f>
        <v/>
      </c>
    </row>
    <row r="49">
      <c r="B49" s="38" t="inlineStr">
        <is>
          <t>Deze tool is uitsluitend bedoeld voor informatieve doeleinden en biedt geen financieel advies.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B8:E8"/>
    <mergeCell ref="B20:D20"/>
    <mergeCell ref="B49:D49"/>
    <mergeCell ref="B10:C10"/>
    <mergeCell ref="B21:D21"/>
    <mergeCell ref="B5:E5"/>
    <mergeCell ref="B3:N3"/>
    <mergeCell ref="B2:N2"/>
    <mergeCell ref="B6:E7"/>
  </mergeCells>
  <conditionalFormatting sqref="B6">
    <cfRule type="expression" priority="1" dxfId="5">
      <formula>('Overzicht Cashflow'!C44-'Overzicht Cashflow'!C51)&gt;=0</formula>
    </cfRule>
    <cfRule type="expression" priority="2" dxfId="6">
      <formula>('Overzicht Cashflow'!C44-'Overzicht Cashflow'!C51)&lt;0</formula>
    </cfRule>
    <cfRule type="expression" priority="5" dxfId="7">
      <formula>('Overzicht Cashflow'!C44-'Overzicht Cashflow'!C51)&gt;=0</formula>
    </cfRule>
    <cfRule type="expression" priority="6" dxfId="4">
      <formula>('Overzicht Cashflow'!C44-'Overzicht Cashflow'!C51)&lt;0</formula>
    </cfRule>
  </conditionalFormatting>
  <conditionalFormatting sqref="B8">
    <cfRule type="expression" priority="3" dxfId="5">
      <formula>('Overzicht Cashflow'!C44-'Overzicht Cashflow'!C51)&gt;=0</formula>
    </cfRule>
    <cfRule type="expression" priority="4" dxfId="6">
      <formula>('Overzicht Cashflow'!C44-'Overzicht Cashflow'!C51)&lt;0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L2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38" customWidth="1" min="4" max="4"/>
    <col width="15" customWidth="1" min="5" max="5"/>
    <col width="15" customWidth="1" min="6" max="6"/>
    <col width="4" customWidth="1" min="7" max="7"/>
    <col width="15" customWidth="1" min="8" max="8"/>
    <col width="15" customWidth="1" min="9" max="9"/>
    <col width="4" customWidth="1" min="10" max="10"/>
    <col width="15" customWidth="1" min="11" max="11"/>
    <col width="15" customWidth="1" min="12" max="12"/>
    <col width="2" customWidth="1" min="13" max="13"/>
  </cols>
  <sheetData>
    <row r="1"/>
    <row r="2" ht="32" customHeight="1">
      <c r="B2" s="1" t="inlineStr">
        <is>
          <t>Overzicht Budgetruimte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B3" s="3" t="inlineStr">
        <is>
          <t>Hoeveel van je overschot wil je sparen, investeren of vrij besteden?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5" ht="22" customHeight="1">
      <c r="B5" s="4" t="inlineStr">
        <is>
          <t>BESCHIKBARE BUDGETRUIMTE</t>
        </is>
      </c>
      <c r="C5" s="5" t="n"/>
      <c r="E5" s="4" t="inlineStr">
        <is>
          <t>GEWENST SPAARBEDRAG</t>
        </is>
      </c>
      <c r="F5" s="5" t="n"/>
      <c r="H5" s="4" t="inlineStr">
        <is>
          <t>GEWENST INVESTEERBEDRAG</t>
        </is>
      </c>
      <c r="I5" s="5" t="n"/>
      <c r="K5" s="4" t="inlineStr">
        <is>
          <t>VRIJ BESTEEDBAAR</t>
        </is>
      </c>
      <c r="L5" s="5" t="n"/>
    </row>
    <row r="6" ht="24" customHeight="1">
      <c r="B6" s="6">
        <f>C10</f>
        <v/>
      </c>
      <c r="C6" s="7" t="n"/>
      <c r="E6" s="6">
        <f>C13</f>
        <v/>
      </c>
      <c r="F6" s="7" t="n"/>
      <c r="H6" s="6">
        <f>C14</f>
        <v/>
      </c>
      <c r="I6" s="7" t="n"/>
      <c r="K6" s="6">
        <f>C18</f>
        <v/>
      </c>
      <c r="L6" s="7" t="n"/>
    </row>
    <row r="7" ht="24" customHeight="1">
      <c r="B7" s="9" t="n"/>
      <c r="C7" s="10" t="n"/>
      <c r="E7" s="9" t="n"/>
      <c r="F7" s="10" t="n"/>
      <c r="H7" s="9" t="n"/>
      <c r="I7" s="10" t="n"/>
      <c r="K7" s="9" t="n"/>
      <c r="L7" s="10" t="n"/>
    </row>
    <row r="9" ht="20" customHeight="1">
      <c r="B9" s="11" t="inlineStr">
        <is>
          <t>■  BESCHIKBARE BUDGETRUIMTE</t>
        </is>
      </c>
      <c r="C9" s="12" t="n"/>
      <c r="D9" s="12" t="n"/>
    </row>
    <row r="10" ht="20" customHeight="1">
      <c r="B10" s="53" t="inlineStr">
        <is>
          <t>Beschikbaar overschot uit Overzicht Cashflow</t>
        </is>
      </c>
      <c r="C10" s="54">
        <f>'Overzicht Cashflow'!C44</f>
        <v/>
      </c>
      <c r="D10" s="37" t="inlineStr">
        <is>
          <t>Wordt automatisch bijgewerkt zodra je dat tabblad invult</t>
        </is>
      </c>
    </row>
    <row r="12" ht="20" customHeight="1">
      <c r="B12" s="11" t="inlineStr">
        <is>
          <t>■  JOUW SPAAR- EN INVESTERINGSDOEL</t>
        </is>
      </c>
      <c r="C12" s="12" t="n"/>
      <c r="D12" s="12" t="n"/>
    </row>
    <row r="13" ht="17" customHeight="1">
      <c r="B13" s="13" t="inlineStr">
        <is>
          <t>Gewenst spaarbedrag per maand</t>
        </is>
      </c>
      <c r="C13" s="14" t="n">
        <v>150</v>
      </c>
      <c r="D13" s="15" t="inlineStr">
        <is>
          <t>Bijvoorbeeld op een spaarrekening of buffer</t>
        </is>
      </c>
    </row>
    <row r="14" ht="17" customHeight="1">
      <c r="B14" s="55" t="inlineStr">
        <is>
          <t>Gewenst investeerbedrag per maand</t>
        </is>
      </c>
      <c r="C14" s="56" t="n">
        <v>100</v>
      </c>
      <c r="D14" s="57" t="inlineStr">
        <is>
          <t>Bijvoorbeeld beleggen of extra pensioeninleg</t>
        </is>
      </c>
    </row>
    <row r="16" ht="20" customHeight="1">
      <c r="B16" s="11" t="inlineStr">
        <is>
          <t>■  RESULTAAT</t>
        </is>
      </c>
      <c r="C16" s="12" t="n"/>
      <c r="D16" s="12" t="n"/>
    </row>
    <row r="17" ht="17" customHeight="1">
      <c r="B17" s="24" t="inlineStr">
        <is>
          <t>Totaal gewenst (sparen + investeren)</t>
        </is>
      </c>
      <c r="C17" s="25">
        <f>C13+C14</f>
        <v/>
      </c>
      <c r="D17" s="23" t="n"/>
    </row>
    <row r="18" ht="30" customHeight="1">
      <c r="B18" s="28" t="inlineStr">
        <is>
          <t>Vrij besteedbaar na sparen/investeren</t>
        </is>
      </c>
      <c r="C18" s="29">
        <f>C10-C17</f>
        <v/>
      </c>
      <c r="D18" s="18" t="inlineStr">
        <is>
          <t>Wat overblijft nadat je spaar- en investeringsdoel is afgetrokken</t>
        </is>
      </c>
    </row>
    <row r="19" ht="20" customHeight="1">
      <c r="B19" s="58">
        <f>IF(C17&gt;C10,"⚠ Let op: je gewenste bedrag is hoger dan je beschikbare overschot deze maand.","")</f>
        <v/>
      </c>
      <c r="C19" s="34" t="n"/>
      <c r="D19" s="22" t="n"/>
    </row>
    <row r="21">
      <c r="B21" s="38" t="inlineStr">
        <is>
          <t>Deze tool is uitsluitend bedoeld voor informatieve doeleinden en biedt geen financieel advies.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">
    <mergeCell ref="B19:D19"/>
    <mergeCell ref="E6:F7"/>
    <mergeCell ref="H6:I7"/>
    <mergeCell ref="B5:C5"/>
    <mergeCell ref="K6:L7"/>
    <mergeCell ref="B3:L3"/>
    <mergeCell ref="B2:L2"/>
    <mergeCell ref="B9:D9"/>
    <mergeCell ref="E5:F5"/>
    <mergeCell ref="B6:C7"/>
    <mergeCell ref="H5:I5"/>
    <mergeCell ref="B21:D21"/>
    <mergeCell ref="K5:L5"/>
    <mergeCell ref="B12:D12"/>
    <mergeCell ref="B16:D16"/>
  </mergeCells>
  <conditionalFormatting sqref="B19">
    <cfRule type="expression" priority="1" dxfId="6">
      <formula>C17&gt;C10</formula>
    </cfRule>
  </conditionalFormatting>
  <conditionalFormatting sqref="C18">
    <cfRule type="expression" priority="2" dxfId="0">
      <formula>C18&lt;0</formula>
    </cfRule>
    <cfRule type="expression" priority="3" dxfId="1">
      <formula>C18&gt;=0</formula>
    </cfRule>
  </conditionalFormatting>
  <conditionalFormatting sqref="K5:L5">
    <cfRule type="expression" priority="4" dxfId="2">
      <formula>C18&lt;0</formula>
    </cfRule>
    <cfRule type="expression" priority="5" dxfId="3">
      <formula>C18&gt;=0</formula>
    </cfRule>
  </conditionalFormatting>
  <conditionalFormatting sqref="K6">
    <cfRule type="expression" priority="6" dxfId="4">
      <formula>C18&lt;0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B1:N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3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" customWidth="1" min="15" max="15"/>
  </cols>
  <sheetData>
    <row r="1"/>
    <row r="2" ht="32" customHeight="1">
      <c r="B2" s="1" t="inlineStr">
        <is>
          <t>Statistieken Budgetruimte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8" customHeight="1">
      <c r="B3" s="3" t="inlineStr">
        <is>
          <t>Deze pagina leest automatisch uit 'Overzicht Budgetruimte' — geen eigen invoer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5" ht="22" customHeight="1">
      <c r="B5" s="4" t="inlineStr">
        <is>
          <t>TOTAAL GESPAARD + GEÏNVESTEERD (12 MND)</t>
        </is>
      </c>
      <c r="C5" s="39" t="n"/>
      <c r="D5" s="39" t="n"/>
      <c r="E5" s="5" t="n"/>
    </row>
    <row r="6" ht="24" customHeight="1">
      <c r="B6" s="6">
        <f>('Overzicht Budgetruimte'!C13+'Overzicht Budgetruimte'!C14)*12</f>
        <v/>
      </c>
      <c r="C6" s="40" t="n"/>
      <c r="D6" s="40" t="n"/>
      <c r="E6" s="7" t="n"/>
    </row>
    <row r="7" ht="24" customHeight="1">
      <c r="B7" s="9" t="n"/>
      <c r="C7" s="43" t="n"/>
      <c r="D7" s="43" t="n"/>
      <c r="E7" s="10" t="n"/>
    </row>
    <row r="9" ht="20" customHeight="1">
      <c r="B9" s="11" t="inlineStr">
        <is>
          <t>■  VERDELING VAN JE BUDGETRUIMTE</t>
        </is>
      </c>
      <c r="C9" s="12" t="n"/>
    </row>
    <row r="10">
      <c r="B10" s="44" t="inlineStr">
        <is>
          <t>Bestemming</t>
        </is>
      </c>
      <c r="C10" s="45" t="inlineStr">
        <is>
          <t>Bedrag / mnd</t>
        </is>
      </c>
    </row>
    <row r="11">
      <c r="B11" s="46" t="inlineStr">
        <is>
          <t>Sparen</t>
        </is>
      </c>
      <c r="C11" s="47">
        <f>'Overzicht Budgetruimte'!C13</f>
        <v/>
      </c>
    </row>
    <row r="12">
      <c r="B12" s="46" t="inlineStr">
        <is>
          <t>Investeren</t>
        </is>
      </c>
      <c r="C12" s="47">
        <f>'Overzicht Budgetruimte'!C14</f>
        <v/>
      </c>
    </row>
    <row r="13">
      <c r="B13" s="48" t="inlineStr">
        <is>
          <t>Vrij besteedbaar</t>
        </is>
      </c>
      <c r="C13" s="49">
        <f>MAX(0,'Overzicht Budgetruimte'!C18)</f>
        <v/>
      </c>
    </row>
    <row r="15" ht="20" customHeight="1">
      <c r="B15" s="11" t="inlineStr">
        <is>
          <t>■  BUDGETRUIMTE PER MAAND — PROGNOSE</t>
        </is>
      </c>
      <c r="C15" s="12" t="n"/>
      <c r="D15" s="12" t="n"/>
      <c r="E15" s="12" t="n"/>
    </row>
    <row r="16">
      <c r="B16" s="38" t="inlineStr">
        <is>
          <t>Gebaseerd op je huidige instellingen uit 'Overzicht Budgetruimte', vlak doorgetrokken over het jaar.</t>
        </is>
      </c>
    </row>
    <row r="17">
      <c r="B17" s="44" t="inlineStr">
        <is>
          <t>Maand</t>
        </is>
      </c>
      <c r="C17" s="50" t="inlineStr">
        <is>
          <t>Sparen</t>
        </is>
      </c>
      <c r="D17" s="50" t="inlineStr">
        <is>
          <t>Investeren</t>
        </is>
      </c>
      <c r="E17" s="45" t="inlineStr">
        <is>
          <t>Vrij besteedbaar</t>
        </is>
      </c>
    </row>
    <row r="18">
      <c r="B18" s="46" t="inlineStr">
        <is>
          <t>Jan</t>
        </is>
      </c>
      <c r="C18" s="51">
        <f>'Overzicht Budgetruimte'!C13</f>
        <v/>
      </c>
      <c r="D18" s="51">
        <f>'Overzicht Budgetruimte'!C14</f>
        <v/>
      </c>
      <c r="E18" s="47">
        <f>MAX(0,'Overzicht Budgetruimte'!C18)</f>
        <v/>
      </c>
    </row>
    <row r="19">
      <c r="B19" s="46" t="inlineStr">
        <is>
          <t>Feb</t>
        </is>
      </c>
      <c r="C19" s="51">
        <f>'Overzicht Budgetruimte'!C13</f>
        <v/>
      </c>
      <c r="D19" s="51">
        <f>'Overzicht Budgetruimte'!C14</f>
        <v/>
      </c>
      <c r="E19" s="47">
        <f>MAX(0,'Overzicht Budgetruimte'!C18)</f>
        <v/>
      </c>
    </row>
    <row r="20">
      <c r="B20" s="46" t="inlineStr">
        <is>
          <t>Mrt</t>
        </is>
      </c>
      <c r="C20" s="51">
        <f>'Overzicht Budgetruimte'!C13</f>
        <v/>
      </c>
      <c r="D20" s="51">
        <f>'Overzicht Budgetruimte'!C14</f>
        <v/>
      </c>
      <c r="E20" s="47">
        <f>MAX(0,'Overzicht Budgetruimte'!C18)</f>
        <v/>
      </c>
    </row>
    <row r="21">
      <c r="B21" s="46" t="inlineStr">
        <is>
          <t>Apr</t>
        </is>
      </c>
      <c r="C21" s="51">
        <f>'Overzicht Budgetruimte'!C13</f>
        <v/>
      </c>
      <c r="D21" s="51">
        <f>'Overzicht Budgetruimte'!C14</f>
        <v/>
      </c>
      <c r="E21" s="47">
        <f>MAX(0,'Overzicht Budgetruimte'!C18)</f>
        <v/>
      </c>
    </row>
    <row r="22">
      <c r="B22" s="46" t="inlineStr">
        <is>
          <t>Mei</t>
        </is>
      </c>
      <c r="C22" s="51">
        <f>'Overzicht Budgetruimte'!C13</f>
        <v/>
      </c>
      <c r="D22" s="51">
        <f>'Overzicht Budgetruimte'!C14</f>
        <v/>
      </c>
      <c r="E22" s="47">
        <f>MAX(0,'Overzicht Budgetruimte'!C18)</f>
        <v/>
      </c>
    </row>
    <row r="23">
      <c r="B23" s="46" t="inlineStr">
        <is>
          <t>Jun</t>
        </is>
      </c>
      <c r="C23" s="51">
        <f>'Overzicht Budgetruimte'!C13</f>
        <v/>
      </c>
      <c r="D23" s="51">
        <f>'Overzicht Budgetruimte'!C14</f>
        <v/>
      </c>
      <c r="E23" s="47">
        <f>MAX(0,'Overzicht Budgetruimte'!C18)</f>
        <v/>
      </c>
    </row>
    <row r="24">
      <c r="B24" s="46" t="inlineStr">
        <is>
          <t>Jul</t>
        </is>
      </c>
      <c r="C24" s="51">
        <f>'Overzicht Budgetruimte'!C13</f>
        <v/>
      </c>
      <c r="D24" s="51">
        <f>'Overzicht Budgetruimte'!C14</f>
        <v/>
      </c>
      <c r="E24" s="47">
        <f>MAX(0,'Overzicht Budgetruimte'!C18)</f>
        <v/>
      </c>
    </row>
    <row r="25">
      <c r="B25" s="46" t="inlineStr">
        <is>
          <t>Aug</t>
        </is>
      </c>
      <c r="C25" s="51">
        <f>'Overzicht Budgetruimte'!C13</f>
        <v/>
      </c>
      <c r="D25" s="51">
        <f>'Overzicht Budgetruimte'!C14</f>
        <v/>
      </c>
      <c r="E25" s="47">
        <f>MAX(0,'Overzicht Budgetruimte'!C18)</f>
        <v/>
      </c>
    </row>
    <row r="26">
      <c r="B26" s="46" t="inlineStr">
        <is>
          <t>Sep</t>
        </is>
      </c>
      <c r="C26" s="51">
        <f>'Overzicht Budgetruimte'!C13</f>
        <v/>
      </c>
      <c r="D26" s="51">
        <f>'Overzicht Budgetruimte'!C14</f>
        <v/>
      </c>
      <c r="E26" s="47">
        <f>MAX(0,'Overzicht Budgetruimte'!C18)</f>
        <v/>
      </c>
    </row>
    <row r="27">
      <c r="B27" s="46" t="inlineStr">
        <is>
          <t>Okt</t>
        </is>
      </c>
      <c r="C27" s="51">
        <f>'Overzicht Budgetruimte'!C13</f>
        <v/>
      </c>
      <c r="D27" s="51">
        <f>'Overzicht Budgetruimte'!C14</f>
        <v/>
      </c>
      <c r="E27" s="47">
        <f>MAX(0,'Overzicht Budgetruimte'!C18)</f>
        <v/>
      </c>
    </row>
    <row r="28">
      <c r="B28" s="46" t="inlineStr">
        <is>
          <t>Nov</t>
        </is>
      </c>
      <c r="C28" s="51">
        <f>'Overzicht Budgetruimte'!C13</f>
        <v/>
      </c>
      <c r="D28" s="51">
        <f>'Overzicht Budgetruimte'!C14</f>
        <v/>
      </c>
      <c r="E28" s="47">
        <f>MAX(0,'Overzicht Budgetruimte'!C18)</f>
        <v/>
      </c>
    </row>
    <row r="29">
      <c r="B29" s="48" t="inlineStr">
        <is>
          <t>Dec</t>
        </is>
      </c>
      <c r="C29" s="52">
        <f>'Overzicht Budgetruimte'!C13</f>
        <v/>
      </c>
      <c r="D29" s="52">
        <f>'Overzicht Budgetruimte'!C14</f>
        <v/>
      </c>
      <c r="E29" s="49">
        <f>MAX(0,'Overzicht Budgetruimte'!C18)</f>
        <v/>
      </c>
    </row>
    <row r="48">
      <c r="B48" s="38" t="inlineStr">
        <is>
          <t>Deze tool is uitsluitend bedoeld voor informatieve doeleinden en biedt geen financieel advies.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B16:E16"/>
    <mergeCell ref="B48:E48"/>
    <mergeCell ref="B15:E15"/>
    <mergeCell ref="B5:E5"/>
    <mergeCell ref="B9:C9"/>
    <mergeCell ref="B3:N3"/>
    <mergeCell ref="B2:N2"/>
    <mergeCell ref="B6:E7"/>
  </mergeCells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Geldplanner</dc:creator>
  <dc:title>Geldplanner — cashflow en budgetruimte</dc:title>
  <dc:description>Deze tool is uitsluitend bedoeld voor informatieve doeleinden en biedt geen financieel advies.</dc:description>
  <dc:subject>Cashflow-dashboard en budgetruimte-planner</dc:subject>
  <dc:language>nl-NL</dc:language>
  <dcterms:created xsi:type="dcterms:W3CDTF">2026-08-23T17:05:39Z</dcterms:created>
  <dcterms:modified xsi:type="dcterms:W3CDTF">2026-08-23T17:05:39Z</dcterms:modified>
</cp:coreProperties>
</file>