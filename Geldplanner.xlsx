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es" sheetId="1" state="visible" r:id="rId1"/>
    <sheet name="Cashflow Overzicht" sheetId="2" state="visible" r:id="rId2"/>
    <sheet name="ZZP Belastingtool" sheetId="3" state="visible" r:id="rId3"/>
    <sheet name="Pensioengat Calculator" sheetId="4" state="visible" r:id="rId4"/>
    <sheet name="Vermogensgroei" sheetId="5" state="visible" r:id="rId5"/>
  </sheets>
  <definedNames/>
  <calcPr calcId="124519" fullCalcOnLoad="1"/>
</workbook>
</file>

<file path=xl/styles.xml><?xml version="1.0" encoding="utf-8"?>
<styleSheet xmlns="http://schemas.openxmlformats.org/spreadsheetml/2006/main">
  <numFmts count="6">
    <numFmt numFmtId="164" formatCode="€ #,##0.00;[Red]-€ #,##0.00"/>
    <numFmt numFmtId="165" formatCode="0.0%"/>
    <numFmt numFmtId="166" formatCode="0.0 &quot;maanden&quot;"/>
    <numFmt numFmtId="167" formatCode="€ #,##0;[Red]-€ #,##0"/>
    <numFmt numFmtId="168" formatCode="0 &quot;jaar&quot;"/>
    <numFmt numFmtId="169" formatCode="0.000%"/>
  </numFmts>
  <fonts count="14">
    <font>
      <name val="Calibri"/>
      <family val="2"/>
      <color theme="1"/>
      <sz val="11"/>
      <scheme val="minor"/>
    </font>
    <font>
      <name val="Calibri"/>
      <b val="1"/>
      <color rgb="00FFFFFF"/>
      <sz val="18"/>
    </font>
    <font>
      <name val="Calibri"/>
      <i val="1"/>
      <color rgb="00FFFFFF"/>
      <sz val="10"/>
    </font>
    <font>
      <name val="Calibri"/>
      <b val="1"/>
      <color rgb="001F3864"/>
      <sz val="11"/>
    </font>
    <font>
      <name val="Calibri"/>
      <i val="1"/>
      <color rgb="007F7F7F"/>
      <sz val="9"/>
    </font>
    <font>
      <name val="Calibri"/>
      <b val="1"/>
      <color rgb="00FFFFFF"/>
      <sz val="11"/>
    </font>
    <font>
      <name val="Calibri"/>
      <b val="1"/>
      <sz val="11"/>
    </font>
    <font>
      <name val="Calibri"/>
      <sz val="11"/>
    </font>
    <font>
      <name val="Calibri"/>
      <b val="1"/>
      <color rgb="009C0006"/>
      <sz val="11"/>
    </font>
    <font>
      <name val="Calibri"/>
      <b val="1"/>
      <color rgb="001F3864"/>
      <sz val="12"/>
    </font>
    <font>
      <name val="Calibri"/>
      <b val="1"/>
      <color rgb="009C6500"/>
      <sz val="10"/>
    </font>
    <font>
      <name val="Calibri"/>
      <b val="1"/>
      <color rgb="00FFFFFF"/>
      <sz val="10"/>
    </font>
    <font>
      <name val="Calibri"/>
      <sz val="10"/>
    </font>
    <font>
      <name val="Calibri"/>
      <b val="1"/>
      <sz val="10"/>
    </font>
  </fonts>
  <fills count="8">
    <fill>
      <patternFill/>
    </fill>
    <fill>
      <patternFill patternType="gray125"/>
    </fill>
    <fill>
      <patternFill patternType="solid">
        <fgColor rgb="001F3864"/>
      </patternFill>
    </fill>
    <fill>
      <patternFill patternType="solid">
        <fgColor rgb="002E5C8A"/>
      </patternFill>
    </fill>
    <fill>
      <patternFill patternType="solid">
        <fgColor rgb="00D9E2F3"/>
      </patternFill>
    </fill>
    <fill>
      <patternFill patternType="solid">
        <fgColor rgb="00FFF2CC"/>
      </patternFill>
    </fill>
    <fill>
      <patternFill patternType="solid">
        <fgColor rgb="00EDEDED"/>
      </patternFill>
    </fill>
    <fill>
      <patternFill patternType="solid">
        <fgColor rgb="00FCE4E4"/>
      </patternFill>
    </fill>
  </fills>
  <borders count="6">
    <border>
      <left/>
      <right/>
      <top/>
      <bottom/>
      <diagonal/>
    </border>
    <border>
      <left style="thin">
        <color rgb="002E5C8A"/>
      </left>
      <right style="thin">
        <color rgb="002E5C8A"/>
      </right>
      <top style="thin">
        <color rgb="002E5C8A"/>
      </top>
      <bottom style="thin">
        <color rgb="002E5C8A"/>
      </bottom>
    </border>
    <border>
      <left style="thin">
        <color rgb="00BFBFBF"/>
      </left>
      <right style="thin">
        <color rgb="00BFBFBF"/>
      </right>
      <top style="thin">
        <color rgb="00BFBFBF"/>
      </top>
      <bottom style="thin">
        <color rgb="00BFBFBF"/>
      </bottom>
    </border>
    <border>
      <left style="thin">
        <color rgb="00BF8F00"/>
      </left>
      <right style="thin">
        <color rgb="00BF8F00"/>
      </right>
      <top style="thin">
        <color rgb="00BF8F00"/>
      </top>
      <bottom style="thin">
        <color rgb="00BF8F00"/>
      </bottom>
    </border>
    <border>
      <left style="medium">
        <color rgb="00C00000"/>
      </left>
      <right style="medium">
        <color rgb="00C00000"/>
      </right>
      <top style="medium">
        <color rgb="00C00000"/>
      </top>
      <bottom style="medium">
        <color rgb="00C00000"/>
      </bottom>
    </border>
    <border>
      <left style="medium">
        <color rgb="00BF8F00"/>
      </left>
      <right style="medium">
        <color rgb="00BF8F00"/>
      </right>
      <top style="medium">
        <color rgb="00BF8F00"/>
      </top>
      <bottom style="medium">
        <color rgb="00BF8F00"/>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 fillId="0" borderId="0" applyAlignment="1" pivotButton="0" quotePrefix="0" xfId="0">
      <alignment vertical="center" indent="1"/>
    </xf>
    <xf numFmtId="0" fontId="4" fillId="0" borderId="0" applyAlignment="1" pivotButton="0" quotePrefix="0" xfId="0">
      <alignment vertical="center" indent="1"/>
    </xf>
    <xf numFmtId="0" fontId="5" fillId="3" borderId="0" applyAlignment="1" pivotButton="0" quotePrefix="0" xfId="0">
      <alignment horizontal="left" vertical="center" indent="1"/>
    </xf>
    <xf numFmtId="0" fontId="0" fillId="3" borderId="0" pivotButton="0" quotePrefix="0" xfId="0"/>
    <xf numFmtId="0" fontId="3" fillId="4" borderId="1" applyAlignment="1" pivotButton="0" quotePrefix="0" xfId="0">
      <alignment vertical="center" indent="1"/>
    </xf>
    <xf numFmtId="0" fontId="6" fillId="0" borderId="2" applyAlignment="1" pivotButton="0" quotePrefix="0" xfId="0">
      <alignment vertical="top" indent="1"/>
    </xf>
    <xf numFmtId="0" fontId="7" fillId="0" borderId="2" applyAlignment="1" pivotButton="0" quotePrefix="0" xfId="0">
      <alignment vertical="top" wrapText="1" indent="1"/>
    </xf>
    <xf numFmtId="0" fontId="6" fillId="5" borderId="3" applyAlignment="1" pivotButton="0" quotePrefix="0" xfId="0">
      <alignment vertical="center" indent="1"/>
    </xf>
    <xf numFmtId="0" fontId="7" fillId="0" borderId="0" applyAlignment="1" pivotButton="0" quotePrefix="0" xfId="0">
      <alignment vertical="center" indent="1"/>
    </xf>
    <xf numFmtId="0" fontId="6" fillId="6" borderId="2" applyAlignment="1" pivotButton="0" quotePrefix="0" xfId="0">
      <alignment vertical="center" indent="1"/>
    </xf>
    <xf numFmtId="0" fontId="6" fillId="4" borderId="1" applyAlignment="1" pivotButton="0" quotePrefix="0" xfId="0">
      <alignment vertical="center" indent="1"/>
    </xf>
    <xf numFmtId="0" fontId="8" fillId="7" borderId="4" applyAlignment="1" pivotButton="0" quotePrefix="0" xfId="0">
      <alignment vertical="top" wrapText="1" indent="1"/>
    </xf>
    <xf numFmtId="164" fontId="7" fillId="5" borderId="3" applyAlignment="1" applyProtection="1" pivotButton="0" quotePrefix="0" xfId="0">
      <alignment horizontal="right" vertical="center" indent="1"/>
      <protection locked="0" hidden="0"/>
    </xf>
    <xf numFmtId="0" fontId="4" fillId="0" borderId="0" applyAlignment="1" pivotButton="0" quotePrefix="0" xfId="0">
      <alignment vertical="center" indent="1"/>
    </xf>
    <xf numFmtId="0" fontId="6" fillId="0" borderId="0" applyAlignment="1" pivotButton="0" quotePrefix="0" xfId="0">
      <alignment vertical="center" indent="1"/>
    </xf>
    <xf numFmtId="164" fontId="6" fillId="6" borderId="2" applyAlignment="1" pivotButton="0" quotePrefix="0" xfId="0">
      <alignment horizontal="right" vertical="center" indent="1"/>
    </xf>
    <xf numFmtId="0" fontId="9" fillId="0" borderId="0" applyAlignment="1" pivotButton="0" quotePrefix="0" xfId="0">
      <alignment vertical="center" indent="1"/>
    </xf>
    <xf numFmtId="164" fontId="9" fillId="4" borderId="1" applyAlignment="1" pivotButton="0" quotePrefix="0" xfId="0">
      <alignment horizontal="right" vertical="center" indent="1"/>
    </xf>
    <xf numFmtId="165" fontId="6" fillId="6" borderId="2" applyAlignment="1" pivotButton="0" quotePrefix="0" xfId="0">
      <alignment horizontal="right" vertical="center" indent="1"/>
    </xf>
    <xf numFmtId="166" fontId="6" fillId="6" borderId="2" applyAlignment="1" pivotButton="0" quotePrefix="0" xfId="0">
      <alignment horizontal="right" vertical="center" indent="1"/>
    </xf>
    <xf numFmtId="0" fontId="3" fillId="0" borderId="0" pivotButton="0" quotePrefix="0" xfId="0"/>
    <xf numFmtId="164" fontId="7" fillId="6" borderId="2" applyAlignment="1" pivotButton="0" quotePrefix="0" xfId="0">
      <alignment horizontal="right" vertical="center" indent="1"/>
    </xf>
    <xf numFmtId="0" fontId="10" fillId="5" borderId="5" applyAlignment="1" pivotButton="0" quotePrefix="0" xfId="0">
      <alignment vertical="center" wrapText="1" indent="1"/>
    </xf>
    <xf numFmtId="0" fontId="7" fillId="5" borderId="3" applyAlignment="1" applyProtection="1" pivotButton="0" quotePrefix="0" xfId="0">
      <alignment horizontal="right" vertical="center" indent="1"/>
      <protection locked="0" hidden="0"/>
    </xf>
    <xf numFmtId="167" fontId="7" fillId="5" borderId="3" applyAlignment="1" applyProtection="1" pivotButton="0" quotePrefix="0" xfId="0">
      <alignment horizontal="right" vertical="center" indent="1"/>
      <protection locked="0" hidden="0"/>
    </xf>
    <xf numFmtId="10" fontId="7" fillId="5" borderId="3" applyAlignment="1" applyProtection="1" pivotButton="0" quotePrefix="0" xfId="0">
      <alignment horizontal="right" vertical="center" indent="1"/>
      <protection locked="0" hidden="0"/>
    </xf>
    <xf numFmtId="0" fontId="3" fillId="4" borderId="1" applyAlignment="1" pivotButton="0" quotePrefix="0" xfId="0">
      <alignment horizontal="center" vertical="center"/>
    </xf>
    <xf numFmtId="168" fontId="7" fillId="5" borderId="3" applyAlignment="1" applyProtection="1" pivotButton="0" quotePrefix="0" xfId="0">
      <alignment horizontal="right" vertical="center" indent="1"/>
      <protection locked="0" hidden="0"/>
    </xf>
    <xf numFmtId="165" fontId="7" fillId="5" borderId="3" applyAlignment="1" applyProtection="1" pivotButton="0" quotePrefix="0" xfId="0">
      <alignment horizontal="right" vertical="center" indent="1"/>
      <protection locked="0" hidden="0"/>
    </xf>
    <xf numFmtId="168" fontId="6" fillId="6" borderId="2" applyAlignment="1" pivotButton="0" quotePrefix="0" xfId="0">
      <alignment horizontal="right" vertical="center" indent="1"/>
    </xf>
    <xf numFmtId="10" fontId="6" fillId="6" borderId="2" applyAlignment="1" pivotButton="0" quotePrefix="0" xfId="0">
      <alignment horizontal="right" vertical="center" indent="1"/>
    </xf>
    <xf numFmtId="169" fontId="6" fillId="6" borderId="2" applyAlignment="1" pivotButton="0" quotePrefix="0" xfId="0">
      <alignment horizontal="right" vertical="center" indent="1"/>
    </xf>
    <xf numFmtId="0" fontId="11" fillId="3" borderId="1" applyAlignment="1" pivotButton="0" quotePrefix="0" xfId="0">
      <alignment horizontal="center" vertical="center" wrapText="1"/>
    </xf>
    <xf numFmtId="1" fontId="13" fillId="6" borderId="2" applyAlignment="1" pivotButton="0" quotePrefix="0" xfId="0">
      <alignment horizontal="center" vertical="center"/>
    </xf>
    <xf numFmtId="167" fontId="12" fillId="6" borderId="2" applyAlignment="1" pivotButton="0" quotePrefix="0" xfId="0">
      <alignment horizontal="right" vertical="center" indent="1"/>
    </xf>
  </cellXfs>
  <cellStyles count="1">
    <cellStyle name="Normal" xfId="0" builtinId="0" hidden="0"/>
  </cellStyles>
  <dxfs count="3">
    <dxf>
      <font>
        <name val="Calibri"/>
        <b val="1"/>
        <color rgb="009C0006"/>
        <sz val="12"/>
      </font>
      <fill>
        <patternFill patternType="solid">
          <fgColor rgb="00FCE4E4"/>
        </patternFill>
      </fill>
    </dxf>
    <dxf>
      <font>
        <name val="Calibri"/>
        <b val="1"/>
        <color rgb="00375623"/>
        <sz val="12"/>
      </font>
      <fill>
        <patternFill patternType="solid">
          <fgColor rgb="00E2EFDA"/>
        </patternFill>
      </fill>
    </dxf>
    <dxf>
      <font>
        <name val="Calibri"/>
        <color rgb="00FFFFFF"/>
        <sz val="10"/>
      </font>
      <fill>
        <patternFill patternType="solid">
          <f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Inkomsten vs. uitgaven per maand</a:t>
            </a:r>
          </a:p>
        </rich>
      </tx>
    </title>
    <plotArea>
      <barChart>
        <barDir val="col"/>
        <grouping val="clustered"/>
        <ser>
          <idx val="0"/>
          <order val="0"/>
          <tx>
            <strRef>
              <f>'Cashflow Overzicht'!C49</f>
            </strRef>
          </tx>
          <spPr>
            <a:ln>
              <a:prstDash val="solid"/>
            </a:ln>
          </spPr>
          <cat>
            <numRef>
              <f>'Cashflow Overzicht'!$B$50:$B$53</f>
            </numRef>
          </cat>
          <val>
            <numRef>
              <f>'Cashflow Overzicht'!$C$50:$C$53</f>
            </numRef>
          </val>
        </ser>
        <dLbls>
          <showVal val="1"/>
        </dLbls>
        <gapWidth val="6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Bedrag per maand (€)</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Groei van je vermogen</a:t>
            </a:r>
          </a:p>
        </rich>
      </tx>
    </title>
    <plotArea>
      <lineChart>
        <grouping val="standard"/>
        <ser>
          <idx val="0"/>
          <order val="0"/>
          <tx>
            <strRef>
              <f>'Vermogensgroei'!J24</f>
            </strRef>
          </tx>
          <spPr>
            <a:ln>
              <a:prstDash val="solid"/>
            </a:ln>
          </spPr>
          <marker>
            <symbol val="none"/>
            <spPr>
              <a:ln>
                <a:prstDash val="solid"/>
              </a:ln>
            </spPr>
          </marker>
          <cat>
            <numRef>
              <f>'Vermogensgroei'!$F$25:$F$65</f>
            </numRef>
          </cat>
          <val>
            <numRef>
              <f>'Vermogensgroei'!$J$25:$J$65</f>
            </numRef>
          </val>
          <smooth val="0"/>
        </ser>
        <ser>
          <idx val="1"/>
          <order val="1"/>
          <tx>
            <strRef>
              <f>'Vermogensgroei'!K24</f>
            </strRef>
          </tx>
          <spPr>
            <a:ln>
              <a:prstDash val="solid"/>
            </a:ln>
          </spPr>
          <marker>
            <symbol val="none"/>
            <spPr>
              <a:ln>
                <a:prstDash val="solid"/>
              </a:ln>
            </spPr>
          </marker>
          <cat>
            <numRef>
              <f>'Vermogensgroei'!$F$25:$F$65</f>
            </numRef>
          </cat>
          <val>
            <numRef>
              <f>'Vermogensgroei'!$K$25:$K$65</f>
            </numRef>
          </val>
          <smooth val="0"/>
        </ser>
        <ser>
          <idx val="2"/>
          <order val="2"/>
          <tx>
            <strRef>
              <f>'Vermogensgroei'!L24</f>
            </strRef>
          </tx>
          <spPr>
            <a:ln>
              <a:prstDash val="solid"/>
            </a:ln>
          </spPr>
          <marker>
            <symbol val="none"/>
            <spPr>
              <a:ln>
                <a:prstDash val="solid"/>
              </a:ln>
            </spPr>
          </marker>
          <cat>
            <numRef>
              <f>'Vermogensgroei'!$F$25:$F$65</f>
            </numRef>
          </cat>
          <val>
            <numRef>
              <f>'Vermogensgroei'!$L$25:$L$65</f>
            </numRef>
          </val>
          <smooth val="0"/>
        </ser>
        <axId val="10"/>
        <axId val="100"/>
      </lineChart>
      <catAx>
        <axId val="10"/>
        <scaling>
          <orientation val="minMax"/>
        </scaling>
        <axPos val="l"/>
        <title>
          <tx>
            <rich>
              <a:bodyPr/>
              <a:p>
                <a:pPr>
                  <a:defRPr/>
                </a:pPr>
                <a:r>
                  <a:t>Jaren</a:t>
                </a:r>
              </a:p>
            </rich>
          </tx>
        </title>
        <majorTickMark val="none"/>
        <minorTickMark val="none"/>
        <crossAx val="100"/>
        <lblOffset val="100"/>
      </catAx>
      <valAx>
        <axId val="100"/>
        <scaling>
          <orientation val="minMax"/>
        </scaling>
        <axPos val="l"/>
        <majorGridlines/>
        <title>
          <tx>
            <rich>
              <a:bodyPr/>
              <a:p>
                <a:pPr>
                  <a:defRPr/>
                </a:pPr>
                <a:r>
                  <a:t>Waarde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23</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fitToPage="1"/>
  </sheetPr>
  <dimension ref="B1:C36"/>
  <sheetViews>
    <sheetView showGridLines="0" workbookViewId="0">
      <pane ySplit="4" topLeftCell="A5" activePane="bottomLeft" state="frozen"/>
      <selection pane="bottomLeft" activeCell="A1" sqref="A1"/>
    </sheetView>
  </sheetViews>
  <sheetFormatPr baseColWidth="8" defaultRowHeight="15"/>
  <cols>
    <col width="2" customWidth="1" min="1" max="1"/>
    <col width="26" customWidth="1" min="2" max="2"/>
    <col width="78" customWidth="1" min="3" max="3"/>
    <col width="2" customWidth="1" min="4" max="4"/>
  </cols>
  <sheetData>
    <row r="1"/>
    <row r="2" ht="32" customHeight="1">
      <c r="B2" s="1" t="inlineStr">
        <is>
          <t>Geldplanner</t>
        </is>
      </c>
      <c r="C2" s="2" t="n"/>
    </row>
    <row r="3" ht="18" customHeight="1">
      <c r="B3" s="3" t="inlineStr">
        <is>
          <t>Persoonlijk financieel overzicht voor Nederlandse huishoudens en zzp'ers</t>
        </is>
      </c>
      <c r="C3" s="2" t="n"/>
    </row>
    <row r="5">
      <c r="B5" s="4" t="inlineStr">
        <is>
          <t>Welkom</t>
        </is>
      </c>
    </row>
    <row r="6">
      <c r="B6" s="5" t="inlineStr">
        <is>
          <t>Deze werkmap helpt je in kaart te brengen wat er maandelijks binnenkomt en weggaat, wat je</t>
        </is>
      </c>
    </row>
    <row r="7">
      <c r="B7" s="5" t="inlineStr">
        <is>
          <t>als zzp'er netto overhoudt, hoe groot je pensioengat is en hoe je vermogen groeit.</t>
        </is>
      </c>
    </row>
    <row r="8">
      <c r="B8" s="5" t="inlineStr">
        <is>
          <t>Vul alleen de gele cellen in. De grijze en blauwe cellen bevatten formules en zijn vergrendeld.</t>
        </is>
      </c>
    </row>
    <row r="10" ht="20" customHeight="1">
      <c r="B10" s="6" t="inlineStr">
        <is>
          <t>DE TABBLADEN</t>
        </is>
      </c>
      <c r="C10" s="7" t="n"/>
    </row>
    <row r="11">
      <c r="B11" s="8" t="inlineStr">
        <is>
          <t>Tabblad</t>
        </is>
      </c>
      <c r="C11" s="8" t="inlineStr">
        <is>
          <t>Wat doe je hier?</t>
        </is>
      </c>
    </row>
    <row r="12" ht="30" customHeight="1">
      <c r="B12" s="9" t="inlineStr">
        <is>
          <t>1. Instructies</t>
        </is>
      </c>
      <c r="C12" s="10" t="inlineStr">
        <is>
          <t>Deze pagina: uitleg, kleurcodering en de disclaimer.</t>
        </is>
      </c>
    </row>
    <row r="13" ht="44" customHeight="1">
      <c r="B13" s="9" t="inlineStr">
        <is>
          <t>2. Cashflow Overzicht</t>
        </is>
      </c>
      <c r="C13" s="10" t="inlineStr">
        <is>
          <t>Vul je maandelijkse inkomsten, vaste lasten en variabele kosten in. Je ziet direct je totale inkomsten, totale uitgaven, het maandelijkse overschot of tekort en je spaarquote.</t>
        </is>
      </c>
    </row>
    <row r="14" ht="44" customHeight="1">
      <c r="B14" s="9" t="inlineStr">
        <is>
          <t>3. ZZP Belastingtool</t>
        </is>
      </c>
      <c r="C14" s="10" t="inlineStr">
        <is>
          <t>Vul je jaaromzet, zakelijke kosten en of je aan het urencriterium voldoet in. Je krijgt een schatting van je belastbare winst, inkomstenbelasting, heffingskortingen, Zvw-bijdrage en wat je netto per maand overhoudt.</t>
        </is>
      </c>
    </row>
    <row r="15" ht="44" customHeight="1">
      <c r="B15" s="9" t="inlineStr">
        <is>
          <t>4. Pensioengat Calculator</t>
        </is>
      </c>
      <c r="C15" s="10" t="inlineStr">
        <is>
          <t>Vul je leeftijd, gewenste pensioenleeftijd, gewenst pensioeninkomen, opgebouwd pensioenvermogen en verwachte AOW in. Je ziet het gat en het bedrag dat je maandelijks moet sparen of beleggen om het te dichten.</t>
        </is>
      </c>
    </row>
    <row r="16" ht="44" customHeight="1">
      <c r="B16" s="9" t="inlineStr">
        <is>
          <t>5. Vermogensgroei</t>
        </is>
      </c>
      <c r="C16" s="10" t="inlineStr">
        <is>
          <t>Vul je startkapitaal, maandelijkse inleg, verwacht rendement en looptijd in. Je ziet de geprojecteerde waarde per jaar plus een grafiek van de groei.</t>
        </is>
      </c>
    </row>
    <row r="18" ht="20" customHeight="1">
      <c r="B18" s="6" t="inlineStr">
        <is>
          <t>KLEURCODERING</t>
        </is>
      </c>
      <c r="C18" s="7" t="n"/>
    </row>
    <row r="19">
      <c r="B19" s="11" t="inlineStr">
        <is>
          <t>Invoercel (geel)</t>
        </is>
      </c>
      <c r="C19" s="12" t="inlineStr">
        <is>
          <t>Hier vul je zelf iets in. Alleen deze cellen zijn bewerkbaar.</t>
        </is>
      </c>
    </row>
    <row r="20">
      <c r="B20" s="13" t="inlineStr">
        <is>
          <t>Berekende cel (grijs)</t>
        </is>
      </c>
      <c r="C20" s="12" t="inlineStr">
        <is>
          <t>Bevat een formule. Vergrendeld zodat je niet per ongeluk een berekening overschrijft.</t>
        </is>
      </c>
    </row>
    <row r="21">
      <c r="B21" s="14" t="inlineStr">
        <is>
          <t>Eindresultaat (blauw)</t>
        </is>
      </c>
      <c r="C21" s="12" t="inlineStr">
        <is>
          <t>De belangrijkste uitkomst van een sectie. Ook vergrendeld.</t>
        </is>
      </c>
    </row>
    <row r="23" ht="20" customHeight="1">
      <c r="B23" s="6" t="inlineStr">
        <is>
          <t>ZO GEBRUIK JE DE WERKMAP</t>
        </is>
      </c>
      <c r="C23" s="7" t="n"/>
    </row>
    <row r="24">
      <c r="B24" s="12" t="inlineStr">
        <is>
          <t>1. Begin bij 'Cashflow Overzicht' en vul je maandbudget in. Alles wat niet van toepassing is laat je op 0 staan.</t>
        </is>
      </c>
    </row>
    <row r="25">
      <c r="B25" s="12" t="inlineStr">
        <is>
          <t>2. Ben je zzp'er? Ga daarna naar 'ZZP Belastingtool' en schat je netto maandinkomen.</t>
        </is>
      </c>
    </row>
    <row r="26">
      <c r="B26" s="12" t="inlineStr">
        <is>
          <t>3. Gebruik dat netto bedrag als inkomen in het cashflow-overzicht.</t>
        </is>
      </c>
    </row>
    <row r="27">
      <c r="B27" s="12" t="inlineStr">
        <is>
          <t>4. Stop je maandelijkse overschot in 'Vermogensgroei' om te zien wat dat op termijn oplevert.</t>
        </is>
      </c>
    </row>
    <row r="28">
      <c r="B28" s="12" t="inlineStr">
        <is>
          <t>5. Controleer met 'Pensioengat Calculator' of dat genoeg is voor je gewenste pensioen.</t>
        </is>
      </c>
    </row>
    <row r="29">
      <c r="B29" s="12" t="inlineStr">
        <is>
          <t>6. De bladen zijn beveiligd zonder wachtwoord. Wil je formules aanpassen? Controleren &gt; Blad-beveiliging opheffen.</t>
        </is>
      </c>
    </row>
    <row r="30">
      <c r="B30" s="12" t="inlineStr">
        <is>
          <t>7. Bedragen staan in euro's. Op een Nederlandse Excel-installatie verschijnen ze als € 1.234,56.</t>
        </is>
      </c>
    </row>
    <row r="32" ht="20" customHeight="1">
      <c r="B32" s="6" t="inlineStr">
        <is>
          <t>BELANGRIJK — DISCLAIMER</t>
        </is>
      </c>
      <c r="C32" s="7" t="n"/>
    </row>
    <row r="33" ht="26" customHeight="1">
      <c r="B33" s="15" t="inlineStr">
        <is>
          <t>Deze tool is uitsluitend bedoeld voor informatieve doeleinden en biedt geen financieel advies.
De belastingtarieven, heffingskortingen en aftrekposten in dit bestand zijn indicatieve cijfers voor 2026 en kunnen door de wetgever worden gewijzigd. Controleer de actuele bedragen altijd op belastingdienst.nl. Rendementen uit het verleden bieden geen garantie voor de toekomst; beleggen brengt risico's met zich mee en je kunt je inleg verliezen.
Raadpleeg voor persoonlijk advies een financieel adviseur, boekhouder of belastingadviseur.</t>
        </is>
      </c>
    </row>
    <row r="34" ht="26" customHeight="1"/>
    <row r="35" ht="26" customHeight="1"/>
    <row r="36" ht="26" customHeight="1"/>
  </sheetData>
  <sheetProtection selectLockedCells="0" selectUnlockedCells="0" sheet="1" objects="0" insertRows="1" insertHyperlinks="1" autoFilter="1" scenarios="0" formatColumns="1" deleteColumns="1" insertColumns="1" pivotTables="1" deleteRows="1" formatCells="1" formatRows="1" sort="1"/>
  <mergeCells count="18">
    <mergeCell ref="B6:C6"/>
    <mergeCell ref="B24:C24"/>
    <mergeCell ref="B2:C2"/>
    <mergeCell ref="B30:C30"/>
    <mergeCell ref="B29:C29"/>
    <mergeCell ref="B7:C7"/>
    <mergeCell ref="B25:C25"/>
    <mergeCell ref="B3:C3"/>
    <mergeCell ref="B5:C5"/>
    <mergeCell ref="B27:C27"/>
    <mergeCell ref="B10:C10"/>
    <mergeCell ref="B28:C28"/>
    <mergeCell ref="B23:C23"/>
    <mergeCell ref="B33:C36"/>
    <mergeCell ref="B32:C32"/>
    <mergeCell ref="B26:C26"/>
    <mergeCell ref="B18:C18"/>
    <mergeCell ref="B8:C8"/>
  </mergeCells>
  <pageMargins left="0.75" right="0.75" top="1" bottom="1" header="0.5" footer="0.5"/>
  <pageSetup orientation="portrait" fitToHeight="0" fitToWidth="1"/>
</worksheet>
</file>

<file path=xl/worksheets/sheet2.xml><?xml version="1.0" encoding="utf-8"?>
<worksheet xmlns="http://schemas.openxmlformats.org/spreadsheetml/2006/main">
  <sheetPr>
    <tabColor rgb="002E75B6"/>
    <outlinePr summaryBelow="1" summaryRight="1"/>
    <pageSetUpPr fitToPage="1"/>
  </sheetPr>
  <dimension ref="B1:D55"/>
  <sheetViews>
    <sheetView showGridLines="0" workbookViewId="0">
      <pane ySplit="4" topLeftCell="A5" activePane="bottomLeft" state="frozen"/>
      <selection pane="bottomLeft" activeCell="A1" sqref="A1"/>
    </sheetView>
  </sheetViews>
  <sheetFormatPr baseColWidth="8" defaultRowHeight="15"/>
  <cols>
    <col width="2" customWidth="1" min="1" max="1"/>
    <col width="38" customWidth="1" min="2" max="2"/>
    <col width="16" customWidth="1" min="3" max="3"/>
    <col width="44" customWidth="1" min="4" max="4"/>
    <col width="2" customWidth="1" min="5" max="5"/>
    <col width="12" customWidth="1" min="6" max="6"/>
    <col width="12" customWidth="1" min="7" max="7"/>
    <col width="12" customWidth="1" min="8" max="8"/>
    <col width="12" customWidth="1" min="9" max="9"/>
    <col width="12" customWidth="1" min="10" max="10"/>
    <col width="12" customWidth="1" min="11" max="11"/>
  </cols>
  <sheetData>
    <row r="1"/>
    <row r="2" ht="32" customHeight="1">
      <c r="B2" s="1" t="inlineStr">
        <is>
          <t>Cashflow Overzicht</t>
        </is>
      </c>
      <c r="C2" s="2" t="n"/>
      <c r="D2" s="2" t="n"/>
    </row>
    <row r="3" ht="18" customHeight="1">
      <c r="B3" s="3" t="inlineStr">
        <is>
          <t>Wat komt er maandelijks binnen en wat gaat eruit?</t>
        </is>
      </c>
      <c r="C3" s="2" t="n"/>
      <c r="D3" s="2" t="n"/>
    </row>
    <row r="5" ht="20" customHeight="1">
      <c r="B5" s="6" t="inlineStr">
        <is>
          <t>INKOMSTEN PER MAAND</t>
        </is>
      </c>
      <c r="C5" s="7" t="n"/>
      <c r="D5" s="7" t="n"/>
    </row>
    <row r="6" ht="17" customHeight="1">
      <c r="B6" s="12" t="inlineStr">
        <is>
          <t>Nettosalaris persoon 1</t>
        </is>
      </c>
      <c r="C6" s="16" t="n">
        <v>3600</v>
      </c>
      <c r="D6" s="17" t="inlineStr">
        <is>
          <t>Bedrag dat op je rekening staat</t>
        </is>
      </c>
    </row>
    <row r="7" ht="17" customHeight="1">
      <c r="B7" s="12" t="inlineStr">
        <is>
          <t>Nettosalaris persoon 2</t>
        </is>
      </c>
      <c r="C7" s="16" t="n">
        <v>0</v>
      </c>
      <c r="D7" s="17" t="inlineStr">
        <is>
          <t>Laat op 0 staan als je alleenstaand bent</t>
        </is>
      </c>
    </row>
    <row r="8" ht="17" customHeight="1">
      <c r="B8" s="12" t="inlineStr">
        <is>
          <t>Freelance-inkomsten (netto)</t>
        </is>
      </c>
      <c r="C8" s="16" t="n">
        <v>0</v>
      </c>
      <c r="D8" s="17" t="inlineStr">
        <is>
          <t>Zie tabblad 'ZZP Belastingtool'</t>
        </is>
      </c>
    </row>
    <row r="9" ht="17" customHeight="1">
      <c r="B9" s="12" t="inlineStr">
        <is>
          <t>Toeslagen (huur-, zorg-, kinderopvang)</t>
        </is>
      </c>
      <c r="C9" s="16" t="n">
        <v>0</v>
      </c>
    </row>
    <row r="10" ht="17" customHeight="1">
      <c r="B10" s="12" t="inlineStr">
        <is>
          <t>Huurinkomsten / alimentatie</t>
        </is>
      </c>
      <c r="C10" s="16" t="n">
        <v>0</v>
      </c>
    </row>
    <row r="11" ht="17" customHeight="1">
      <c r="B11" s="12" t="inlineStr">
        <is>
          <t>Overige inkomsten</t>
        </is>
      </c>
      <c r="C11" s="16" t="n">
        <v>0</v>
      </c>
    </row>
    <row r="12" ht="17" customHeight="1">
      <c r="B12" s="18" t="inlineStr">
        <is>
          <t>Totale inkomsten</t>
        </is>
      </c>
      <c r="C12" s="19">
        <f>SUM(C6:C11)</f>
        <v/>
      </c>
    </row>
    <row r="14" ht="20" customHeight="1">
      <c r="B14" s="6" t="inlineStr">
        <is>
          <t>VASTE LASTEN PER MAAND</t>
        </is>
      </c>
      <c r="C14" s="7" t="n"/>
      <c r="D14" s="7" t="n"/>
    </row>
    <row r="15" ht="17" customHeight="1">
      <c r="B15" s="12" t="inlineStr">
        <is>
          <t>Huur of hypotheek</t>
        </is>
      </c>
      <c r="C15" s="16" t="n">
        <v>1250</v>
      </c>
    </row>
    <row r="16" ht="17" customHeight="1">
      <c r="B16" s="12" t="inlineStr">
        <is>
          <t>Energie, water en warmte</t>
        </is>
      </c>
      <c r="C16" s="16" t="n">
        <v>180</v>
      </c>
    </row>
    <row r="17" ht="17" customHeight="1">
      <c r="B17" s="12" t="inlineStr">
        <is>
          <t>Zorgverzekering</t>
        </is>
      </c>
      <c r="C17" s="16" t="n">
        <v>290</v>
      </c>
      <c r="D17" s="17" t="inlineStr">
        <is>
          <t>Beide partners samen</t>
        </is>
      </c>
    </row>
    <row r="18" ht="17" customHeight="1">
      <c r="B18" s="12" t="inlineStr">
        <is>
          <t>Overige verzekeringen</t>
        </is>
      </c>
      <c r="C18" s="16" t="n">
        <v>65</v>
      </c>
      <c r="D18" s="17" t="inlineStr">
        <is>
          <t>Inboedel, aansprakelijkheid, opstal, ORV</t>
        </is>
      </c>
    </row>
    <row r="19" ht="17" customHeight="1">
      <c r="B19" s="12" t="inlineStr">
        <is>
          <t>Gemeentelijke belastingen en waterschap</t>
        </is>
      </c>
      <c r="C19" s="16" t="n">
        <v>60</v>
      </c>
      <c r="D19" s="17" t="inlineStr">
        <is>
          <t>Jaarbedrag gedeeld door 12</t>
        </is>
      </c>
    </row>
    <row r="20" ht="17" customHeight="1">
      <c r="B20" s="12" t="inlineStr">
        <is>
          <t>Internet, tv en telefoon</t>
        </is>
      </c>
      <c r="C20" s="16" t="n">
        <v>70</v>
      </c>
    </row>
    <row r="21" ht="17" customHeight="1">
      <c r="B21" s="12" t="inlineStr">
        <is>
          <t>Abonnementen en lidmaatschappen</t>
        </is>
      </c>
      <c r="C21" s="16" t="n">
        <v>45</v>
      </c>
      <c r="D21" s="17" t="inlineStr">
        <is>
          <t>Streaming, sportschool, kranten</t>
        </is>
      </c>
    </row>
    <row r="22" ht="17" customHeight="1">
      <c r="B22" s="12" t="inlineStr">
        <is>
          <t>Aflossing leningen en studieschuld</t>
        </is>
      </c>
      <c r="C22" s="16" t="n">
        <v>0</v>
      </c>
    </row>
    <row r="23" ht="17" customHeight="1">
      <c r="B23" s="12" t="inlineStr">
        <is>
          <t>Kinderopvang / school</t>
        </is>
      </c>
      <c r="C23" s="16" t="n">
        <v>0</v>
      </c>
    </row>
    <row r="24" ht="17" customHeight="1">
      <c r="B24" s="12" t="inlineStr">
        <is>
          <t>Overige vaste lasten</t>
        </is>
      </c>
      <c r="C24" s="16" t="n">
        <v>0</v>
      </c>
    </row>
    <row r="25" ht="17" customHeight="1">
      <c r="B25" s="18" t="inlineStr">
        <is>
          <t>Totaal vaste lasten</t>
        </is>
      </c>
      <c r="C25" s="19">
        <f>SUM(C15:C24)</f>
        <v/>
      </c>
    </row>
    <row r="27" ht="20" customHeight="1">
      <c r="B27" s="6" t="inlineStr">
        <is>
          <t>VARIABELE KOSTEN PER MAAND</t>
        </is>
      </c>
      <c r="C27" s="7" t="n"/>
      <c r="D27" s="7" t="n"/>
    </row>
    <row r="28" ht="17" customHeight="1">
      <c r="B28" s="12" t="inlineStr">
        <is>
          <t>Boodschappen</t>
        </is>
      </c>
      <c r="C28" s="16" t="n">
        <v>550</v>
      </c>
    </row>
    <row r="29" ht="17" customHeight="1">
      <c r="B29" s="12" t="inlineStr">
        <is>
          <t>Vervoer (brandstof, OV, onderhoud)</t>
        </is>
      </c>
      <c r="C29" s="16" t="n">
        <v>200</v>
      </c>
    </row>
    <row r="30" ht="17" customHeight="1">
      <c r="B30" s="12" t="inlineStr">
        <is>
          <t>Vrije tijd, uitgaan en horeca</t>
        </is>
      </c>
      <c r="C30" s="16" t="n">
        <v>200</v>
      </c>
    </row>
    <row r="31" ht="17" customHeight="1">
      <c r="B31" s="12" t="inlineStr">
        <is>
          <t>Kleding en persoonlijke verzorging</t>
        </is>
      </c>
      <c r="C31" s="16" t="n">
        <v>100</v>
      </c>
    </row>
    <row r="32" ht="17" customHeight="1">
      <c r="B32" s="12" t="inlineStr">
        <is>
          <t>Zorgkosten (eigen risico, tandarts)</t>
        </is>
      </c>
      <c r="C32" s="16" t="n">
        <v>40</v>
      </c>
    </row>
    <row r="33" ht="17" customHeight="1">
      <c r="B33" s="12" t="inlineStr">
        <is>
          <t>Vakantie (gereserveerd per maand)</t>
        </is>
      </c>
      <c r="C33" s="16" t="n">
        <v>150</v>
      </c>
    </row>
    <row r="34" ht="17" customHeight="1">
      <c r="B34" s="12" t="inlineStr">
        <is>
          <t>Cadeaus, goede doelen en overig</t>
        </is>
      </c>
      <c r="C34" s="16" t="n">
        <v>75</v>
      </c>
    </row>
    <row r="35" ht="17" customHeight="1">
      <c r="B35" s="18" t="inlineStr">
        <is>
          <t>Totaal variabele kosten</t>
        </is>
      </c>
      <c r="C35" s="19">
        <f>SUM(C28:C34)</f>
        <v/>
      </c>
    </row>
    <row r="37" ht="20" customHeight="1">
      <c r="B37" s="6" t="inlineStr">
        <is>
          <t>RESULTAAT</t>
        </is>
      </c>
      <c r="C37" s="7" t="n"/>
      <c r="D37" s="7" t="n"/>
    </row>
    <row r="38" ht="17" customHeight="1">
      <c r="B38" s="18" t="inlineStr">
        <is>
          <t>Totale inkomsten</t>
        </is>
      </c>
      <c r="C38" s="19">
        <f>C12</f>
        <v/>
      </c>
    </row>
    <row r="39" ht="17" customHeight="1">
      <c r="B39" s="18" t="inlineStr">
        <is>
          <t>Totale uitgaven</t>
        </is>
      </c>
      <c r="C39" s="19">
        <f>C25+C35</f>
        <v/>
      </c>
    </row>
    <row r="40" ht="20" customHeight="1">
      <c r="B40" s="20" t="inlineStr">
        <is>
          <t>Maandelijks overschot / tekort</t>
        </is>
      </c>
      <c r="C40" s="21">
        <f>C38-C39</f>
        <v/>
      </c>
      <c r="D40" s="17" t="inlineStr">
        <is>
          <t>Positief = je houdt over. Negatief = je komt tekort.</t>
        </is>
      </c>
    </row>
    <row r="41" ht="17" customHeight="1">
      <c r="B41" s="18" t="inlineStr">
        <is>
          <t>Spaarquote</t>
        </is>
      </c>
      <c r="C41" s="22">
        <f>IF(C38=0,"",C40/C38)</f>
        <v/>
      </c>
      <c r="D41" s="17" t="inlineStr">
        <is>
          <t>Deel van je inkomen dat je overhoudt</t>
        </is>
      </c>
    </row>
    <row r="42" ht="17" customHeight="1">
      <c r="B42" s="18" t="inlineStr">
        <is>
          <t>Overschot / tekort per jaar</t>
        </is>
      </c>
      <c r="C42" s="19">
        <f>C40*12</f>
        <v/>
      </c>
    </row>
    <row r="43" ht="17" customHeight="1">
      <c r="B43" s="18" t="inlineStr">
        <is>
          <t>Vaste lasten als deel van inkomen</t>
        </is>
      </c>
      <c r="C43" s="22">
        <f>IF(C38=0,"",C25/C38)</f>
        <v/>
      </c>
      <c r="D43" s="17" t="inlineStr">
        <is>
          <t>Vuistregel: houd dit onder 50%</t>
        </is>
      </c>
    </row>
    <row r="44" ht="17" customHeight="1">
      <c r="B44" s="18" t="inlineStr">
        <is>
          <t>Buffer: hoeveel maanden uitgaven heb je?</t>
        </is>
      </c>
      <c r="C44" s="23">
        <f>IF(C25+C35=0,"",C46/(C25+C35))</f>
        <v/>
      </c>
      <c r="D44" s="17" t="inlineStr">
        <is>
          <t>Vuistregel: drie tot zes maanden</t>
        </is>
      </c>
    </row>
    <row r="46" ht="17" customHeight="1">
      <c r="B46" s="12" t="inlineStr">
        <is>
          <t>Huidig spaargeld (buffer)</t>
        </is>
      </c>
      <c r="C46" s="16" t="n">
        <v>5000</v>
      </c>
      <c r="D46" s="17" t="inlineStr">
        <is>
          <t>Wordt gebruikt voor de bufferberekening hierboven</t>
        </is>
      </c>
    </row>
    <row r="49">
      <c r="B49" s="24" t="inlineStr">
        <is>
          <t>Grafiekgegevens</t>
        </is>
      </c>
      <c r="C49" s="24" t="inlineStr">
        <is>
          <t>Bedrag per maand</t>
        </is>
      </c>
    </row>
    <row r="50">
      <c r="B50" s="12" t="inlineStr">
        <is>
          <t>Inkomsten</t>
        </is>
      </c>
      <c r="C50" s="25">
        <f>C38</f>
        <v/>
      </c>
    </row>
    <row r="51">
      <c r="B51" s="12" t="inlineStr">
        <is>
          <t>Vaste lasten</t>
        </is>
      </c>
      <c r="C51" s="25">
        <f>C25</f>
        <v/>
      </c>
    </row>
    <row r="52">
      <c r="B52" s="12" t="inlineStr">
        <is>
          <t>Variabele kosten</t>
        </is>
      </c>
      <c r="C52" s="25">
        <f>C35</f>
        <v/>
      </c>
    </row>
    <row r="53">
      <c r="B53" s="12" t="inlineStr">
        <is>
          <t>Totale uitgaven</t>
        </is>
      </c>
      <c r="C53" s="25">
        <f>C39</f>
        <v/>
      </c>
    </row>
    <row r="55">
      <c r="B55" s="5" t="inlineStr">
        <is>
          <t>Deze tool is uitsluitend bedoeld voor informatieve doeleinden en biedt geen financieel advies.</t>
        </is>
      </c>
    </row>
  </sheetData>
  <sheetProtection selectLockedCells="0" selectUnlockedCells="0" sheet="1" objects="0" insertRows="1" insertHyperlinks="1" autoFilter="1" scenarios="0" formatColumns="1" deleteColumns="1" insertColumns="1" pivotTables="1" deleteRows="1" formatCells="1" formatRows="1" sort="1"/>
  <mergeCells count="7">
    <mergeCell ref="B3:D3"/>
    <mergeCell ref="B5:D5"/>
    <mergeCell ref="B14:D14"/>
    <mergeCell ref="B37:D37"/>
    <mergeCell ref="B27:D27"/>
    <mergeCell ref="B55:D55"/>
    <mergeCell ref="B2:D2"/>
  </mergeCells>
  <conditionalFormatting sqref="C40">
    <cfRule type="cellIs" priority="1" operator="lessThan" dxfId="0">
      <formula>0</formula>
    </cfRule>
    <cfRule type="cellIs" priority="2" operator="greaterThanOrEqual" dxfId="1">
      <formula>0</formula>
    </cfRule>
  </conditionalFormatting>
  <pageMargins left="0.75" right="0.75" top="1" bottom="1" header="0.5" footer="0.5"/>
  <pageSetup orientation="portrait" fitToHeight="0" fitToWidth="1"/>
  <drawing xmlns:r="http://schemas.openxmlformats.org/officeDocument/2006/relationships" r:id="rId1"/>
</worksheet>
</file>

<file path=xl/worksheets/sheet3.xml><?xml version="1.0" encoding="utf-8"?>
<worksheet xmlns="http://schemas.openxmlformats.org/spreadsheetml/2006/main">
  <sheetPr>
    <tabColor rgb="00548235"/>
    <outlinePr summaryBelow="1" summaryRight="1"/>
    <pageSetUpPr fitToPage="1"/>
  </sheetPr>
  <dimension ref="B1:E68"/>
  <sheetViews>
    <sheetView showGridLines="0" workbookViewId="0">
      <pane ySplit="4" topLeftCell="A5" activePane="bottomLeft" state="frozen"/>
      <selection pane="bottomLeft" activeCell="A1" sqref="A1"/>
    </sheetView>
  </sheetViews>
  <sheetFormatPr baseColWidth="8" defaultRowHeight="15"/>
  <cols>
    <col width="2" customWidth="1" min="1" max="1"/>
    <col width="42" customWidth="1" min="2" max="2"/>
    <col width="16" customWidth="1" min="3" max="3"/>
    <col width="50" customWidth="1" min="4" max="4"/>
    <col width="14" customWidth="1" min="5" max="5"/>
    <col width="14" customWidth="1" min="6" max="6"/>
    <col width="14" customWidth="1" min="7" max="7"/>
    <col width="14" customWidth="1" min="8" max="8"/>
    <col width="14" customWidth="1" min="9" max="9"/>
  </cols>
  <sheetData>
    <row r="1"/>
    <row r="2" ht="32" customHeight="1">
      <c r="B2" s="1" t="inlineStr">
        <is>
          <t>ZZP Belastingtool</t>
        </is>
      </c>
      <c r="C2" s="2" t="n"/>
      <c r="D2" s="2" t="n"/>
      <c r="E2" s="2" t="n"/>
    </row>
    <row r="3" ht="18" customHeight="1">
      <c r="B3" s="3" t="inlineStr">
        <is>
          <t>Schatting van je inkomstenbelasting en netto maandinkomen (box 1)</t>
        </is>
      </c>
      <c r="C3" s="2" t="n"/>
      <c r="D3" s="2" t="n"/>
      <c r="E3" s="2" t="n"/>
    </row>
    <row r="5" ht="20" customHeight="1">
      <c r="B5" s="26" t="inlineStr">
        <is>
          <t>LET OP: dit is een schatting, geen garantie. De uitkomst is geen aangifte en geen financieel of fiscaal advies. Tarieven en kortingen voor 2026 zijn indicatief — controleer ze op belastingdienst.nl en pas ze zo nodig hieronder aan.</t>
        </is>
      </c>
    </row>
    <row r="6" ht="20" customHeight="1"/>
    <row r="8" ht="20" customHeight="1">
      <c r="B8" s="6" t="inlineStr">
        <is>
          <t>JOUW GEGEVENS</t>
        </is>
      </c>
      <c r="C8" s="7" t="n"/>
      <c r="D8" s="7" t="n"/>
      <c r="E8" s="7" t="n"/>
    </row>
    <row r="9" ht="17" customHeight="1">
      <c r="B9" s="12" t="inlineStr">
        <is>
          <t>Jaaromzet als freelancer (excl. btw)</t>
        </is>
      </c>
      <c r="C9" s="16" t="n">
        <v>75000</v>
      </c>
      <c r="D9" s="17" t="inlineStr">
        <is>
          <t>Alle facturen samen, exclusief btw</t>
        </is>
      </c>
    </row>
    <row r="10" ht="17" customHeight="1">
      <c r="B10" s="12" t="inlineStr">
        <is>
          <t>Zakelijke kosten per jaar</t>
        </is>
      </c>
      <c r="C10" s="16" t="n">
        <v>8000</v>
      </c>
      <c r="D10" s="17" t="inlineStr">
        <is>
          <t>Laptop, verzekeringen, kantoor, reiskosten, boekhouder</t>
        </is>
      </c>
    </row>
    <row r="11" ht="17" customHeight="1">
      <c r="B11" s="12" t="inlineStr">
        <is>
          <t>Voldoe je aan het urencriterium?</t>
        </is>
      </c>
      <c r="C11" s="27" t="inlineStr">
        <is>
          <t>Ja</t>
        </is>
      </c>
      <c r="D11" s="17" t="inlineStr">
        <is>
          <t>1.225 uur per jaar → recht op zelfstandigenaftrek</t>
        </is>
      </c>
    </row>
    <row r="12" ht="17" customHeight="1">
      <c r="B12" s="12" t="inlineStr">
        <is>
          <t>Recht op startersaftrek dit jaar?</t>
        </is>
      </c>
      <c r="C12" s="27" t="inlineStr">
        <is>
          <t>Nee</t>
        </is>
      </c>
      <c r="D12" s="17" t="inlineStr">
        <is>
          <t>Max. 3x in de eerste 5 jaar als ondernemer</t>
        </is>
      </c>
    </row>
    <row r="13" ht="17" customHeight="1">
      <c r="B13" s="12" t="inlineStr">
        <is>
          <t>Overige aftrekposten</t>
        </is>
      </c>
      <c r="C13" s="16" t="n">
        <v>0</v>
      </c>
      <c r="D13" s="17" t="inlineStr">
        <is>
          <t>Bijv. meewerkaftrek of stakingsaftrek</t>
        </is>
      </c>
    </row>
    <row r="14" ht="17" customHeight="1">
      <c r="B14" s="12" t="inlineStr">
        <is>
          <t>Heb je de AOW-leeftijd bereikt?</t>
        </is>
      </c>
      <c r="C14" s="27" t="inlineStr">
        <is>
          <t>Nee</t>
        </is>
      </c>
      <c r="D14" s="17" t="inlineStr">
        <is>
          <t>Vanaf de AOW-leeftijd gelden lagere tarieven (hier niet doorgerekend)</t>
        </is>
      </c>
    </row>
    <row r="16" ht="20" customHeight="1">
      <c r="B16" s="6" t="inlineStr">
        <is>
          <t>BELASTINGPARAMETERS 2026 (INDICATIEF — AANPASBAAR)</t>
        </is>
      </c>
      <c r="C16" s="7" t="n"/>
      <c r="D16" s="7" t="n"/>
      <c r="E16" s="7" t="n"/>
    </row>
    <row r="17" ht="17" customHeight="1">
      <c r="B17" s="12" t="inlineStr">
        <is>
          <t>Schijf 1 — grens</t>
        </is>
      </c>
      <c r="C17" s="28" t="n">
        <v>38883</v>
      </c>
      <c r="D17" s="17" t="inlineStr">
        <is>
          <t>Inkomen tot en met dit bedrag valt in schijf 1</t>
        </is>
      </c>
    </row>
    <row r="18" ht="17" customHeight="1">
      <c r="B18" s="12" t="inlineStr">
        <is>
          <t>Schijf 1 — tarief</t>
        </is>
      </c>
      <c r="C18" s="29" t="n">
        <v>0.357</v>
      </c>
      <c r="D18" s="17" t="inlineStr">
        <is>
          <t>Inclusief premies volksverzekeringen</t>
        </is>
      </c>
    </row>
    <row r="19" ht="17" customHeight="1">
      <c r="B19" s="12" t="inlineStr">
        <is>
          <t>Schijf 2 — grens</t>
        </is>
      </c>
      <c r="C19" s="28" t="n">
        <v>79137</v>
      </c>
    </row>
    <row r="20" ht="17" customHeight="1">
      <c r="B20" s="12" t="inlineStr">
        <is>
          <t>Schijf 2 — tarief</t>
        </is>
      </c>
      <c r="C20" s="29" t="n">
        <v>0.3756</v>
      </c>
    </row>
    <row r="21" ht="17" customHeight="1">
      <c r="B21" s="12" t="inlineStr">
        <is>
          <t>Schijf 3 — tarief (boven schijf 2)</t>
        </is>
      </c>
      <c r="C21" s="29" t="n">
        <v>0.495</v>
      </c>
    </row>
    <row r="22" ht="17" customHeight="1">
      <c r="B22" s="12" t="inlineStr">
        <is>
          <t>Zelfstandigenaftrek</t>
        </is>
      </c>
      <c r="C22" s="28" t="n">
        <v>1200</v>
      </c>
      <c r="D22" s="17" t="inlineStr">
        <is>
          <t>Wordt jaarlijks afgebouwd</t>
        </is>
      </c>
    </row>
    <row r="23" ht="17" customHeight="1">
      <c r="B23" s="12" t="inlineStr">
        <is>
          <t>Startersaftrek</t>
        </is>
      </c>
      <c r="C23" s="28" t="n">
        <v>2123</v>
      </c>
    </row>
    <row r="24" ht="17" customHeight="1">
      <c r="B24" s="12" t="inlineStr">
        <is>
          <t>MKB-winstvrijstelling</t>
        </is>
      </c>
      <c r="C24" s="29" t="n">
        <v>0.127</v>
      </c>
      <c r="D24" s="17" t="inlineStr">
        <is>
          <t>Over de winst na ondernemersaftrek</t>
        </is>
      </c>
    </row>
    <row r="25" ht="17" customHeight="1">
      <c r="B25" s="12" t="inlineStr">
        <is>
          <t>Algemene heffingskorting — maximum</t>
        </is>
      </c>
      <c r="C25" s="28" t="n">
        <v>3115</v>
      </c>
    </row>
    <row r="26" ht="17" customHeight="1">
      <c r="B26" s="12" t="inlineStr">
        <is>
          <t>Algemene heffingskorting — afbouw vanaf</t>
        </is>
      </c>
      <c r="C26" s="28" t="n">
        <v>29529</v>
      </c>
    </row>
    <row r="27" ht="17" customHeight="1">
      <c r="B27" s="12" t="inlineStr">
        <is>
          <t>Algemene heffingskorting — afbouwpercentage</t>
        </is>
      </c>
      <c r="C27" s="29" t="n">
        <v>0.06337</v>
      </c>
    </row>
    <row r="28" ht="17" customHeight="1">
      <c r="B28" s="12" t="inlineStr">
        <is>
          <t>Zvw-bijdrage (inkomensafhankelijk)</t>
        </is>
      </c>
      <c r="C28" s="29" t="n">
        <v>0.0526</v>
      </c>
      <c r="D28" s="17" t="inlineStr">
        <is>
          <t>Betaal je als ondernemer zelf via de aanslag</t>
        </is>
      </c>
    </row>
    <row r="29" ht="17" customHeight="1">
      <c r="B29" s="12" t="inlineStr">
        <is>
          <t>Zvw — maximumgrondslag</t>
        </is>
      </c>
      <c r="C29" s="28" t="n">
        <v>78727</v>
      </c>
    </row>
    <row r="31" ht="20" customHeight="1">
      <c r="B31" s="6" t="inlineStr">
        <is>
          <t>ARBEIDSKORTING — OPBOUW EN AFBOUW (INDICATIEF 2026)</t>
        </is>
      </c>
      <c r="C31" s="7" t="n"/>
      <c r="D31" s="7" t="n"/>
      <c r="E31" s="7" t="n"/>
    </row>
    <row r="32">
      <c r="B32" s="30" t="inlineStr">
        <is>
          <t>Schijf</t>
        </is>
      </c>
      <c r="C32" s="30" t="inlineStr">
        <is>
          <t>Vanaf</t>
        </is>
      </c>
      <c r="D32" s="30" t="inlineStr">
        <is>
          <t>Basisbedrag</t>
        </is>
      </c>
      <c r="E32" s="30" t="inlineStr">
        <is>
          <t>Percentage</t>
        </is>
      </c>
    </row>
    <row r="33">
      <c r="B33" s="12" t="inlineStr">
        <is>
          <t>1 — opbouw</t>
        </is>
      </c>
      <c r="C33" s="28" t="n">
        <v>0</v>
      </c>
      <c r="D33" s="28" t="n">
        <v>0</v>
      </c>
      <c r="E33" s="29" t="n">
        <v>0.08053</v>
      </c>
    </row>
    <row r="34">
      <c r="B34" s="12" t="inlineStr">
        <is>
          <t>2 — opbouw</t>
        </is>
      </c>
      <c r="C34" s="28" t="n">
        <v>12400</v>
      </c>
      <c r="D34" s="28" t="n">
        <v>999</v>
      </c>
      <c r="E34" s="29" t="n">
        <v>0.3003</v>
      </c>
    </row>
    <row r="35">
      <c r="B35" s="12" t="inlineStr">
        <is>
          <t>3 — opbouw</t>
        </is>
      </c>
      <c r="C35" s="28" t="n">
        <v>26800</v>
      </c>
      <c r="D35" s="28" t="n">
        <v>5322</v>
      </c>
      <c r="E35" s="29" t="n">
        <v>0.02258</v>
      </c>
    </row>
    <row r="36">
      <c r="B36" s="12" t="inlineStr">
        <is>
          <t>4 — afbouw</t>
        </is>
      </c>
      <c r="C36" s="28" t="n">
        <v>43900</v>
      </c>
      <c r="D36" s="28" t="n">
        <v>5712</v>
      </c>
      <c r="E36" s="29" t="n">
        <v>0.06510000000000001</v>
      </c>
    </row>
    <row r="37">
      <c r="B37" s="5" t="inlineStr">
        <is>
          <t>In schijf 4 wordt de arbeidskorting afgebouwd; het percentage geldt daar als aftrek.</t>
        </is>
      </c>
    </row>
    <row r="39" ht="20" customHeight="1">
      <c r="B39" s="6" t="inlineStr">
        <is>
          <t>BEREKENING</t>
        </is>
      </c>
      <c r="C39" s="7" t="n"/>
      <c r="D39" s="7" t="n"/>
      <c r="E39" s="7" t="n"/>
    </row>
    <row r="40" ht="17" customHeight="1">
      <c r="B40" s="18" t="inlineStr">
        <is>
          <t>Winst uit onderneming</t>
        </is>
      </c>
      <c r="C40" s="19">
        <f>C9-C10</f>
        <v/>
      </c>
      <c r="D40" s="17" t="inlineStr">
        <is>
          <t>Omzet minus zakelijke kosten</t>
        </is>
      </c>
    </row>
    <row r="41" ht="17" customHeight="1">
      <c r="B41" s="18" t="inlineStr">
        <is>
          <t>Zelfstandigenaftrek</t>
        </is>
      </c>
      <c r="C41" s="19">
        <f>IF(C11="Ja",MIN(C22,MAX(0,C40)),0)</f>
        <v/>
      </c>
      <c r="D41" s="17" t="inlineStr">
        <is>
          <t>Niet hoger dan de winst</t>
        </is>
      </c>
    </row>
    <row r="42" ht="17" customHeight="1">
      <c r="B42" s="18" t="inlineStr">
        <is>
          <t>Startersaftrek</t>
        </is>
      </c>
      <c r="C42" s="19">
        <f>IF(AND(C11="Ja",C12="Ja"),C23,0)</f>
        <v/>
      </c>
      <c r="D42" s="17" t="inlineStr">
        <is>
          <t>Mag de winst wel overschrijden</t>
        </is>
      </c>
    </row>
    <row r="43" ht="17" customHeight="1">
      <c r="B43" s="18" t="inlineStr">
        <is>
          <t>Totale ondernemersaftrek</t>
        </is>
      </c>
      <c r="C43" s="19">
        <f>C41+C42+C13</f>
        <v/>
      </c>
    </row>
    <row r="44" ht="17" customHeight="1">
      <c r="B44" s="18" t="inlineStr">
        <is>
          <t>Winst na ondernemersaftrek</t>
        </is>
      </c>
      <c r="C44" s="19">
        <f>MAX(0,C40-C43)</f>
        <v/>
      </c>
    </row>
    <row r="45" ht="17" customHeight="1">
      <c r="B45" s="18" t="inlineStr">
        <is>
          <t>MKB-winstvrijstelling</t>
        </is>
      </c>
      <c r="C45" s="19">
        <f>C44*C24</f>
        <v/>
      </c>
    </row>
    <row r="46" ht="20" customHeight="1">
      <c r="B46" s="20" t="inlineStr">
        <is>
          <t>Belastbare winst (box 1)</t>
        </is>
      </c>
      <c r="C46" s="21">
        <f>MAX(0,C44-C45)</f>
        <v/>
      </c>
    </row>
    <row r="47" ht="17" customHeight="1">
      <c r="B47" s="18" t="inlineStr">
        <is>
          <t>Inkomstenbelasting vóór heffingskortingen</t>
        </is>
      </c>
      <c r="C47" s="19">
        <f>MIN(C46,C17)*C18+MAX(0,MIN(C46,C19)-C17)*C20+MAX(0,C46-C19)*C21</f>
        <v/>
      </c>
      <c r="D47" s="17" t="inlineStr">
        <is>
          <t>Schijventarief toegepast op de belastbare winst</t>
        </is>
      </c>
    </row>
    <row r="48" ht="17" customHeight="1">
      <c r="B48" s="18" t="inlineStr">
        <is>
          <t>Algemene heffingskorting</t>
        </is>
      </c>
      <c r="C48" s="19">
        <f>MAX(0,C25-MAX(0,C46-C26)*C27)</f>
        <v/>
      </c>
      <c r="D48" s="17" t="inlineStr">
        <is>
          <t>Bouwt af naarmate je inkomen stijgt</t>
        </is>
      </c>
    </row>
    <row r="49" ht="17" customHeight="1">
      <c r="B49" s="18" t="inlineStr">
        <is>
          <t>Arbeidskorting</t>
        </is>
      </c>
      <c r="C49" s="19">
        <f>IF(C46&lt;=C34,D33+C46*E33,IF(C46&lt;=C35,D34+(C46-C34)*E34,IF(C46&lt;=C36,D35+(C46-C35)*E35,MAX(0,D36-(C46-C36)*E36))))</f>
        <v/>
      </c>
      <c r="D49" s="17" t="inlineStr">
        <is>
          <t>Op basis van de tabel hierboven</t>
        </is>
      </c>
    </row>
    <row r="50" ht="17" customHeight="1">
      <c r="B50" s="18" t="inlineStr">
        <is>
          <t>Totaal heffingskortingen</t>
        </is>
      </c>
      <c r="C50" s="19">
        <f>C48+C49</f>
        <v/>
      </c>
    </row>
    <row r="51" ht="17" customHeight="1">
      <c r="B51" s="18" t="inlineStr">
        <is>
          <t>Te betalen inkomstenbelasting</t>
        </is>
      </c>
      <c r="C51" s="19">
        <f>MAX(0,C47-C50)</f>
        <v/>
      </c>
      <c r="D51" s="17" t="inlineStr">
        <is>
          <t>Heffingskortingen worden niet uitbetaald onder nul</t>
        </is>
      </c>
    </row>
    <row r="52" ht="17" customHeight="1">
      <c r="B52" s="18" t="inlineStr">
        <is>
          <t>Zvw-bijdrage</t>
        </is>
      </c>
      <c r="C52" s="19">
        <f>MIN(C46,C29)*C28</f>
        <v/>
      </c>
    </row>
    <row r="53" ht="20" customHeight="1">
      <c r="B53" s="20" t="inlineStr">
        <is>
          <t>Totaal te betalen (IB + Zvw)</t>
        </is>
      </c>
      <c r="C53" s="21">
        <f>C51+C52</f>
        <v/>
      </c>
    </row>
    <row r="55" ht="20" customHeight="1">
      <c r="B55" s="6" t="inlineStr">
        <is>
          <t>WAT HOUD JE OVER?</t>
        </is>
      </c>
      <c r="C55" s="7" t="n"/>
      <c r="D55" s="7" t="n"/>
      <c r="E55" s="7" t="n"/>
    </row>
    <row r="56" ht="20" customHeight="1">
      <c r="B56" s="20" t="inlineStr">
        <is>
          <t>Netto besteedbaar per jaar</t>
        </is>
      </c>
      <c r="C56" s="21">
        <f>C40-C53</f>
        <v/>
      </c>
      <c r="D56" s="17" t="inlineStr">
        <is>
          <t>Winst minus inkomstenbelasting en Zvw-bijdrage</t>
        </is>
      </c>
    </row>
    <row r="57" ht="20" customHeight="1">
      <c r="B57" s="20" t="inlineStr">
        <is>
          <t>Netto besteedbaar per maand</t>
        </is>
      </c>
      <c r="C57" s="21">
        <f>C56/12</f>
        <v/>
      </c>
      <c r="D57" s="17" t="inlineStr">
        <is>
          <t>Neem dit bedrag over in 'Cashflow Overzicht'</t>
        </is>
      </c>
    </row>
    <row r="58" ht="17" customHeight="1">
      <c r="B58" s="18" t="inlineStr">
        <is>
          <t>Gemiddelde belastingdruk</t>
        </is>
      </c>
      <c r="C58" s="22">
        <f>IF(C40&lt;=0,"",C53/C40)</f>
        <v/>
      </c>
      <c r="D58" s="17" t="inlineStr">
        <is>
          <t>Als percentage van je winst</t>
        </is>
      </c>
    </row>
    <row r="59" ht="17" customHeight="1">
      <c r="B59" s="18" t="inlineStr">
        <is>
          <t>Reserveer per maand voor de aanslag</t>
        </is>
      </c>
      <c r="C59" s="19">
        <f>C53/12</f>
        <v/>
      </c>
      <c r="D59" s="17" t="inlineStr">
        <is>
          <t>Zet dit apart op een aparte rekening</t>
        </is>
      </c>
    </row>
    <row r="60" ht="17" customHeight="1">
      <c r="B60" s="18" t="inlineStr">
        <is>
          <t>Marginaal tarief op de volgende euro winst</t>
        </is>
      </c>
      <c r="C60" s="22">
        <f>IF(C46&lt;C17,C18,IF(C46&lt;C19,C20,C21))*(1-C24)</f>
        <v/>
      </c>
      <c r="D60" s="17" t="inlineStr">
        <is>
          <t>Bij benadering, inclusief MKB-winstvrijstelling</t>
        </is>
      </c>
    </row>
    <row r="62">
      <c r="B62" s="4" t="inlineStr">
        <is>
          <t>Niet meegenomen in deze schatting:</t>
        </is>
      </c>
    </row>
    <row r="63">
      <c r="B63" s="5" t="inlineStr">
        <is>
          <t>• Btw-aangifte (btw loopt buiten je winst om), inkomen van een fiscaal partner en box 3-vermogen.</t>
        </is>
      </c>
    </row>
    <row r="64">
      <c r="B64" s="5" t="inlineStr">
        <is>
          <t>• Fiscale oudedagsreserve, investeringsaftrek (KIA), afschrijvingen en middeling.</t>
        </is>
      </c>
    </row>
    <row r="65">
      <c r="B65" s="5" t="inlineStr">
        <is>
          <t>• Loon uit dienstbetrekking naast je onderneming; dat verhoogt je schijf en verlaagt je kortingen.</t>
        </is>
      </c>
    </row>
    <row r="66">
      <c r="B66" s="5" t="inlineStr">
        <is>
          <t>• Inkomensafhankelijke toeslagen en de tarieven vanaf de AOW-leeftijd.</t>
        </is>
      </c>
    </row>
    <row r="68">
      <c r="B68" s="5" t="inlineStr">
        <is>
          <t>Deze tool is uitsluitend bedoeld voor informatieve doeleinden en biedt geen financieel advies. Dit is een schatting, geen garantie.</t>
        </is>
      </c>
    </row>
  </sheetData>
  <sheetProtection selectLockedCells="0" selectUnlockedCells="0" sheet="1" objects="0" insertRows="1" insertHyperlinks="1" autoFilter="1" scenarios="0" formatColumns="1" deleteColumns="1" insertColumns="1" pivotTables="1" deleteRows="1" formatCells="1" formatRows="1" sort="1"/>
  <mergeCells count="15">
    <mergeCell ref="B31:E31"/>
    <mergeCell ref="B63:E63"/>
    <mergeCell ref="B8:E8"/>
    <mergeCell ref="B65:E65"/>
    <mergeCell ref="B68:E68"/>
    <mergeCell ref="B16:E16"/>
    <mergeCell ref="B62:E62"/>
    <mergeCell ref="B64:E64"/>
    <mergeCell ref="B39:E39"/>
    <mergeCell ref="B55:E55"/>
    <mergeCell ref="B3:E3"/>
    <mergeCell ref="B2:E2"/>
    <mergeCell ref="B37:E37"/>
    <mergeCell ref="B5:E6"/>
    <mergeCell ref="B66:E66"/>
  </mergeCells>
  <dataValidations count="1">
    <dataValidation sqref="C11 C12 C14" showDropDown="0" showInputMessage="0" showErrorMessage="0" allowBlank="0" errorTitle="Ongeldige invoer" error="Kies Ja of Nee." type="list">
      <formula1>"Ja,Nee"</formula1>
    </dataValidation>
  </dataValidations>
  <pageMargins left="0.75" right="0.75" top="1" bottom="1" header="0.5" footer="0.5"/>
  <pageSetup orientation="portrait" fitToHeight="0" fitToWidth="1"/>
</worksheet>
</file>

<file path=xl/worksheets/sheet4.xml><?xml version="1.0" encoding="utf-8"?>
<worksheet xmlns="http://schemas.openxmlformats.org/spreadsheetml/2006/main">
  <sheetPr>
    <tabColor rgb="007030A0"/>
    <outlinePr summaryBelow="1" summaryRight="1"/>
    <pageSetUpPr fitToPage="1"/>
  </sheetPr>
  <dimension ref="B1:D44"/>
  <sheetViews>
    <sheetView showGridLines="0" workbookViewId="0">
      <pane ySplit="4" topLeftCell="A5" activePane="bottomLeft" state="frozen"/>
      <selection pane="bottomLeft" activeCell="A1" sqref="A1"/>
    </sheetView>
  </sheetViews>
  <sheetFormatPr baseColWidth="8" defaultRowHeight="15"/>
  <cols>
    <col width="2" customWidth="1" min="1" max="1"/>
    <col width="44" customWidth="1" min="2" max="2"/>
    <col width="16" customWidth="1" min="3" max="3"/>
    <col width="52" customWidth="1" min="4" max="4"/>
    <col width="2" customWidth="1" min="5" max="5"/>
  </cols>
  <sheetData>
    <row r="1"/>
    <row r="2" ht="32" customHeight="1">
      <c r="B2" s="1" t="inlineStr">
        <is>
          <t>Pensioengat Calculator</t>
        </is>
      </c>
      <c r="C2" s="2" t="n"/>
      <c r="D2" s="2" t="n"/>
    </row>
    <row r="3" ht="18" customHeight="1">
      <c r="B3" s="3" t="inlineStr">
        <is>
          <t>Hoeveel moet je maandelijks opzijzetten voor het pensioen dat je wilt?</t>
        </is>
      </c>
      <c r="C3" s="2" t="n"/>
      <c r="D3" s="2" t="n"/>
    </row>
    <row r="5" ht="20" customHeight="1">
      <c r="B5" s="6" t="inlineStr">
        <is>
          <t>JOUW SITUATIE</t>
        </is>
      </c>
      <c r="C5" s="7" t="n"/>
      <c r="D5" s="7" t="n"/>
    </row>
    <row r="6" ht="17" customHeight="1">
      <c r="B6" s="12" t="inlineStr">
        <is>
          <t>Huidige leeftijd</t>
        </is>
      </c>
      <c r="C6" s="31" t="n">
        <v>38</v>
      </c>
    </row>
    <row r="7" ht="17" customHeight="1">
      <c r="B7" s="12" t="inlineStr">
        <is>
          <t>Gewenste pensioenleeftijd</t>
        </is>
      </c>
      <c r="C7" s="31" t="n">
        <v>67</v>
      </c>
      <c r="D7" s="17" t="inlineStr">
        <is>
          <t>De AOW-leeftijd is nu 67 jaar en beweegt mee met de levensverwachting</t>
        </is>
      </c>
    </row>
    <row r="8" ht="17" customHeight="1">
      <c r="B8" s="12" t="inlineStr">
        <is>
          <t>Gewenst pensioeninkomen per maand</t>
        </is>
      </c>
      <c r="C8" s="16" t="n">
        <v>3500</v>
      </c>
      <c r="D8" s="17" t="inlineStr">
        <is>
          <t>In euro's van vandaag, netto besteedbaar</t>
        </is>
      </c>
    </row>
    <row r="9" ht="17" customHeight="1">
      <c r="B9" s="12" t="inlineStr">
        <is>
          <t>Verwachte AOW per maand</t>
        </is>
      </c>
      <c r="C9" s="16" t="n">
        <v>1500</v>
      </c>
      <c r="D9" s="17" t="inlineStr">
        <is>
          <t>Ca. € 1.050 alleenstaand, ca. € 750 p.p. samenwonend (netto, 2025)</t>
        </is>
      </c>
    </row>
    <row r="10" ht="17" customHeight="1">
      <c r="B10" s="12" t="inlineStr">
        <is>
          <t>Verwacht werkgeverspensioen per maand</t>
        </is>
      </c>
      <c r="C10" s="16" t="n">
        <v>700</v>
      </c>
      <c r="D10" s="17" t="inlineStr">
        <is>
          <t>Zie mijnpensioenoverzicht.nl</t>
        </is>
      </c>
    </row>
    <row r="11" ht="17" customHeight="1">
      <c r="B11" s="12" t="inlineStr">
        <is>
          <t>Huidig opgebouwd pensioenvermogen</t>
        </is>
      </c>
      <c r="C11" s="16" t="n">
        <v>30000</v>
      </c>
      <c r="D11" s="17" t="inlineStr">
        <is>
          <t>Lijfrente, banksparen, beleggingen bestemd voor pensioen</t>
        </is>
      </c>
    </row>
    <row r="12" ht="17" customHeight="1">
      <c r="B12" s="12" t="inlineStr">
        <is>
          <t>Wat leg je nu al maandelijks in?</t>
        </is>
      </c>
      <c r="C12" s="16" t="n">
        <v>150</v>
      </c>
      <c r="D12" s="17" t="inlineStr">
        <is>
          <t>Wordt van de benodigde inleg afgetrokken</t>
        </is>
      </c>
    </row>
    <row r="14" ht="20" customHeight="1">
      <c r="B14" s="6" t="inlineStr">
        <is>
          <t>AANNAMES</t>
        </is>
      </c>
      <c r="C14" s="7" t="n"/>
      <c r="D14" s="7" t="n"/>
    </row>
    <row r="15" ht="17" customHeight="1">
      <c r="B15" s="12" t="inlineStr">
        <is>
          <t>Verwacht rendement vóór pensioen (per jaar)</t>
        </is>
      </c>
      <c r="C15" s="32" t="n">
        <v>0.05</v>
      </c>
      <c r="D15" s="17" t="inlineStr">
        <is>
          <t>Historisch wereldwijd aandelenrendement ligt rond 6-7% nominaal</t>
        </is>
      </c>
    </row>
    <row r="16" ht="17" customHeight="1">
      <c r="B16" s="12" t="inlineStr">
        <is>
          <t>Verwacht rendement tijdens pensioen (per jaar)</t>
        </is>
      </c>
      <c r="C16" s="32" t="n">
        <v>0.03</v>
      </c>
      <c r="D16" s="17" t="inlineStr">
        <is>
          <t>Meestal lager: je bouwt risico af</t>
        </is>
      </c>
    </row>
    <row r="17" ht="17" customHeight="1">
      <c r="B17" s="12" t="inlineStr">
        <is>
          <t>Verwachte inflatie (per jaar)</t>
        </is>
      </c>
      <c r="C17" s="32" t="n">
        <v>0.02</v>
      </c>
      <c r="D17" s="17" t="inlineStr">
        <is>
          <t>Doelstelling van de ECB is 2%</t>
        </is>
      </c>
    </row>
    <row r="18" ht="17" customHeight="1">
      <c r="B18" s="12" t="inlineStr">
        <is>
          <t>Aantal jaren dat je pensioen moet duren</t>
        </is>
      </c>
      <c r="C18" s="31" t="n">
        <v>25</v>
      </c>
      <c r="D18" s="17" t="inlineStr">
        <is>
          <t>Levensverwachting bij 67 is ruim 18 jaar; 25 is voorzichtig</t>
        </is>
      </c>
    </row>
    <row r="20" ht="20" customHeight="1">
      <c r="B20" s="6" t="inlineStr">
        <is>
          <t>HET PENSIOENGAT</t>
        </is>
      </c>
      <c r="C20" s="7" t="n"/>
      <c r="D20" s="7" t="n"/>
    </row>
    <row r="21" ht="17" customHeight="1">
      <c r="B21" s="18" t="inlineStr">
        <is>
          <t>Jaren tot je pensioen</t>
        </is>
      </c>
      <c r="C21" s="33">
        <f>MAX(0,C7-C6)</f>
        <v/>
      </c>
    </row>
    <row r="22" ht="17" customHeight="1">
      <c r="B22" s="18" t="inlineStr">
        <is>
          <t>Maandelijks tekort in euro's van vandaag</t>
        </is>
      </c>
      <c r="C22" s="19">
        <f>MAX(0,C8-C9-C10)</f>
        <v/>
      </c>
      <c r="D22" s="17" t="inlineStr">
        <is>
          <t>Gewenst inkomen minus AOW en werkgeverspensioen</t>
        </is>
      </c>
    </row>
    <row r="23" ht="17" customHeight="1">
      <c r="B23" s="18" t="inlineStr">
        <is>
          <t>Maandelijks tekort bij pensionering</t>
        </is>
      </c>
      <c r="C23" s="19">
        <f>C22*(1+C17)^C21</f>
        <v/>
      </c>
      <c r="D23" s="17" t="inlineStr">
        <is>
          <t>Hetzelfde tekort, gecorrigeerd voor inflatie</t>
        </is>
      </c>
    </row>
    <row r="24" ht="17" customHeight="1">
      <c r="B24" s="18" t="inlineStr">
        <is>
          <t>Reëel rendement tijdens pensioen</t>
        </is>
      </c>
      <c r="C24" s="34">
        <f>(1+C16)/(1+C17)-1</f>
        <v/>
      </c>
      <c r="D24" s="17" t="inlineStr">
        <is>
          <t>Rendement minus inflatie; houdt je uitkering koopkrachtvast</t>
        </is>
      </c>
    </row>
    <row r="25" ht="20" customHeight="1">
      <c r="B25" s="20" t="inlineStr">
        <is>
          <t>Benodigd pensioenkapitaal bij pensionering</t>
        </is>
      </c>
      <c r="C25" s="21">
        <f>IF(ABS(C24)&lt;0.0001,C23*12*C18,C23*12*(1-(1+C24)^(-C18))/C24)</f>
        <v/>
      </c>
      <c r="D25" s="17" t="inlineStr">
        <is>
          <t>Contante waarde van het tekort over de hele pensioenperiode</t>
        </is>
      </c>
    </row>
    <row r="26" ht="17" customHeight="1">
      <c r="B26" s="18" t="inlineStr">
        <is>
          <t>Waarde van je huidige vermogen bij pensionering</t>
        </is>
      </c>
      <c r="C26" s="19">
        <f>C11*(1+C15)^C21</f>
        <v/>
      </c>
      <c r="D26" s="17" t="inlineStr">
        <is>
          <t>Je opgebouwde vermogen groeit door tot je pensioendatum</t>
        </is>
      </c>
    </row>
    <row r="27" ht="17" customHeight="1">
      <c r="B27" s="18" t="inlineStr">
        <is>
          <t>Waarde van je huidige maandinleg bij pensionering</t>
        </is>
      </c>
      <c r="C27" s="19">
        <f>IF(OR(C21=0,C15=0),C12*12*C21,C12*(((1+(1+C15)^(1/12)-1)^(C21*12)-1)/((1+C15)^(1/12)-1)))</f>
        <v/>
      </c>
      <c r="D27" s="17" t="inlineStr">
        <is>
          <t>Wat je huidige inleg oplevert als je die volhoudt</t>
        </is>
      </c>
    </row>
    <row r="28" ht="20" customHeight="1">
      <c r="B28" s="20" t="inlineStr">
        <is>
          <t>PENSIOENGAT (tekort aan kapitaal)</t>
        </is>
      </c>
      <c r="C28" s="21">
        <f>MAX(0,C25-C26-C27)</f>
        <v/>
      </c>
      <c r="D28" s="17" t="inlineStr">
        <is>
          <t>Nul betekent: je ligt op koers</t>
        </is>
      </c>
    </row>
    <row r="30" ht="20" customHeight="1">
      <c r="B30" s="6" t="inlineStr">
        <is>
          <t>WAT MOET JE DOEN?</t>
        </is>
      </c>
      <c r="C30" s="7" t="n"/>
      <c r="D30" s="7" t="n"/>
    </row>
    <row r="31" ht="17" customHeight="1">
      <c r="B31" s="18" t="inlineStr">
        <is>
          <t>Maandelijks rendement (samengesteld)</t>
        </is>
      </c>
      <c r="C31" s="35">
        <f>(1+C15)^(1/12)-1</f>
        <v/>
      </c>
      <c r="D31" s="17" t="inlineStr">
        <is>
          <t>Jaarrendement omgerekend naar maandbasis</t>
        </is>
      </c>
    </row>
    <row r="32" ht="20" customHeight="1">
      <c r="B32" s="20" t="inlineStr">
        <is>
          <t>Extra maandelijks sparen of beleggen</t>
        </is>
      </c>
      <c r="C32" s="21">
        <f>IF(C21&lt;=0,"",IF(C28&lt;=0,0,IF(C31=0,C28/(C21*12),C28*C31/((1+C31)^(C21*12)-1))))</f>
        <v/>
      </c>
      <c r="D32" s="17" t="inlineStr">
        <is>
          <t>Bovenop wat je nu al inlegt</t>
        </is>
      </c>
    </row>
    <row r="33" ht="17" customHeight="1">
      <c r="B33" s="18" t="inlineStr">
        <is>
          <t>Totale maandelijkse inleg vanaf nu</t>
        </is>
      </c>
      <c r="C33" s="19">
        <f>IF(C32="","",C12+C32)</f>
        <v/>
      </c>
      <c r="D33" s="17" t="inlineStr">
        <is>
          <t>Je huidige inleg plus het extra bedrag</t>
        </is>
      </c>
    </row>
    <row r="34" ht="17" customHeight="1">
      <c r="B34" s="18" t="inlineStr">
        <is>
          <t>Totaal dat je zelf inlegt tot pensioendatum</t>
        </is>
      </c>
      <c r="C34" s="19">
        <f>IF(C33="","",C33*12*C21)</f>
        <v/>
      </c>
      <c r="D34" s="17" t="inlineStr">
        <is>
          <t>Zonder rendement, alleen je eigen geld</t>
        </is>
      </c>
    </row>
    <row r="35" ht="17" customHeight="1">
      <c r="B35" s="18" t="inlineStr">
        <is>
          <t>Dekkingsgraad zonder extra inleg</t>
        </is>
      </c>
      <c r="C35" s="22">
        <f>IF(C25&lt;=0,"",(C26+C27)/C25)</f>
        <v/>
      </c>
      <c r="D35" s="17" t="inlineStr">
        <is>
          <t>100% = je huidige plan is toereikend</t>
        </is>
      </c>
    </row>
    <row r="37">
      <c r="B37" s="4" t="inlineStr">
        <is>
          <t>Hoe deze berekening werkt</t>
        </is>
      </c>
    </row>
    <row r="38">
      <c r="B38" s="5" t="inlineStr">
        <is>
          <t>• Je gewenste inkomen wordt met de inflatie opgehoogd naar je pensioendatum.</t>
        </is>
      </c>
    </row>
    <row r="39">
      <c r="B39" s="5" t="inlineStr">
        <is>
          <t>• Het benodigde kapitaal is de contante waarde van je maandelijkse tekort over de hele pensioenperiode,</t>
        </is>
      </c>
    </row>
    <row r="40">
      <c r="B40" s="5" t="inlineStr">
        <is>
          <t xml:space="preserve">   verdisconteerd tegen het reële rendement, zodat je uitkering koopkrachtvast blijft.</t>
        </is>
      </c>
    </row>
    <row r="41">
      <c r="B41" s="5" t="inlineStr">
        <is>
          <t>• De benodigde inleg volgt uit de standaardformule voor samengestelde rente met periodieke stortingen.</t>
        </is>
      </c>
    </row>
    <row r="42">
      <c r="B42" s="5" t="inlineStr">
        <is>
          <t>• Belastingvoordeel op lijfrente-inleg (jaarruimte) is niet meegerekend; in de praktijk kan de netto inleg lager uitvallen.</t>
        </is>
      </c>
    </row>
    <row r="43">
      <c r="B43" s="5" t="inlineStr"/>
    </row>
    <row r="44">
      <c r="B44" s="5" t="inlineStr">
        <is>
          <t>Deze tool is uitsluitend bedoeld voor informatieve doeleinden en biedt geen financieel advies. Uitkomsten zijn schattingen op basis van je eigen aannames.</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42:D42"/>
    <mergeCell ref="B3:D3"/>
    <mergeCell ref="B5:D5"/>
    <mergeCell ref="B14:D14"/>
    <mergeCell ref="B37:D37"/>
    <mergeCell ref="B41:D41"/>
    <mergeCell ref="B40:D40"/>
    <mergeCell ref="B30:D30"/>
    <mergeCell ref="B44:D44"/>
    <mergeCell ref="B43:D43"/>
    <mergeCell ref="B39:D39"/>
    <mergeCell ref="B38:D38"/>
    <mergeCell ref="B2:D2"/>
    <mergeCell ref="B20:D20"/>
  </mergeCells>
  <conditionalFormatting sqref="C28">
    <cfRule type="cellIs" priority="1" operator="greaterThan" dxfId="0">
      <formula>0</formula>
    </cfRule>
    <cfRule type="cellIs" priority="2" operator="lessThanOrEqual" dxfId="1">
      <formula>0</formula>
    </cfRule>
  </conditionalFormatting>
  <pageMargins left="0.75" right="0.75" top="1" bottom="1" header="0.5" footer="0.5"/>
  <pageSetup orientation="portrait" fitToHeight="0" fitToWidth="1"/>
</worksheet>
</file>

<file path=xl/worksheets/sheet5.xml><?xml version="1.0" encoding="utf-8"?>
<worksheet xmlns="http://schemas.openxmlformats.org/spreadsheetml/2006/main">
  <sheetPr>
    <tabColor rgb="00BF8F00"/>
    <outlinePr summaryBelow="1" summaryRight="1"/>
    <pageSetUpPr fitToPage="1"/>
  </sheetPr>
  <dimension ref="B1:L68"/>
  <sheetViews>
    <sheetView showGridLines="0" workbookViewId="0">
      <pane ySplit="4" topLeftCell="A5" activePane="bottomLeft" state="frozen"/>
      <selection pane="bottomLeft" activeCell="A1" sqref="A1"/>
    </sheetView>
  </sheetViews>
  <sheetFormatPr baseColWidth="8" defaultRowHeight="15"/>
  <cols>
    <col width="2" customWidth="1" min="1" max="1"/>
    <col width="40" customWidth="1" min="2" max="2"/>
    <col width="16" customWidth="1" min="3" max="3"/>
    <col width="46" customWidth="1" min="4" max="4"/>
    <col width="2" customWidth="1" min="5" max="5"/>
    <col width="8" customWidth="1" min="6" max="6"/>
    <col width="15" customWidth="1" min="7" max="7"/>
    <col width="15" customWidth="1" min="8" max="8"/>
    <col width="15" customWidth="1" min="9" max="9"/>
    <col width="15" customWidth="1" min="10" max="10"/>
    <col width="15" customWidth="1" min="11" max="11"/>
    <col width="15" customWidth="1" min="12" max="12"/>
  </cols>
  <sheetData>
    <row r="1"/>
    <row r="2" ht="32" customHeight="1">
      <c r="B2" s="1" t="inlineStr">
        <is>
          <t>Vermogensgroei</t>
        </is>
      </c>
      <c r="C2" s="2" t="n"/>
      <c r="D2" s="2" t="n"/>
    </row>
    <row r="3" ht="18" customHeight="1">
      <c r="B3" s="3" t="inlineStr">
        <is>
          <t>Projectie van je vermogen met samengestelde rente</t>
        </is>
      </c>
      <c r="C3" s="2" t="n"/>
      <c r="D3" s="2" t="n"/>
    </row>
    <row r="5" ht="20" customHeight="1">
      <c r="B5" s="6" t="inlineStr">
        <is>
          <t>JOUW INVOER</t>
        </is>
      </c>
      <c r="C5" s="7" t="n"/>
      <c r="D5" s="7" t="n"/>
    </row>
    <row r="6" ht="17" customHeight="1">
      <c r="B6" s="12" t="inlineStr">
        <is>
          <t>Huidig spaargeld en beleggingen</t>
        </is>
      </c>
      <c r="C6" s="16" t="n">
        <v>25000</v>
      </c>
      <c r="D6" s="17" t="inlineStr">
        <is>
          <t>Je startkapitaal</t>
        </is>
      </c>
    </row>
    <row r="7" ht="17" customHeight="1">
      <c r="B7" s="12" t="inlineStr">
        <is>
          <t>Maandelijkse inleg</t>
        </is>
      </c>
      <c r="C7" s="16" t="n">
        <v>500</v>
      </c>
      <c r="D7" s="17" t="inlineStr">
        <is>
          <t>Bijvoorbeeld je maandelijkse overschot uit tabblad 2</t>
        </is>
      </c>
    </row>
    <row r="8" ht="17" customHeight="1">
      <c r="B8" s="12" t="inlineStr">
        <is>
          <t>Verwacht rendement per jaar</t>
        </is>
      </c>
      <c r="C8" s="32" t="n">
        <v>0.06</v>
      </c>
      <c r="D8" s="17" t="inlineStr">
        <is>
          <t>Spaarrekening ca. 1,5-2%, wereldwijd aandelenfonds historisch ca. 7%</t>
        </is>
      </c>
    </row>
    <row r="9" ht="17" customHeight="1">
      <c r="B9" s="12" t="inlineStr">
        <is>
          <t>Aantal jaren</t>
        </is>
      </c>
      <c r="C9" s="31" t="n">
        <v>25</v>
      </c>
      <c r="D9" s="17" t="inlineStr">
        <is>
          <t>Maximaal 40 jaar</t>
        </is>
      </c>
    </row>
    <row r="10" ht="17" customHeight="1">
      <c r="B10" s="12" t="inlineStr">
        <is>
          <t>Verwachte inflatie per jaar</t>
        </is>
      </c>
      <c r="C10" s="32" t="n">
        <v>0.02</v>
      </c>
      <c r="D10" s="17" t="inlineStr">
        <is>
          <t>Voor de koopkracht-kolom in de tabel</t>
        </is>
      </c>
    </row>
    <row r="11" ht="17" customHeight="1">
      <c r="B11" s="12" t="inlineStr">
        <is>
          <t>Beleggingskosten per jaar</t>
        </is>
      </c>
      <c r="C11" s="29" t="n">
        <v>0.0035</v>
      </c>
      <c r="D11" s="17" t="inlineStr">
        <is>
          <t>Fondskosten plus servicekosten van je broker</t>
        </is>
      </c>
    </row>
    <row r="13" ht="20" customHeight="1">
      <c r="B13" s="6" t="inlineStr">
        <is>
          <t>AFGELEIDE WAARDEN</t>
        </is>
      </c>
      <c r="C13" s="7" t="n"/>
      <c r="D13" s="7" t="n"/>
    </row>
    <row r="14" ht="17" customHeight="1">
      <c r="B14" s="18" t="inlineStr">
        <is>
          <t>Netto rendement na kosten</t>
        </is>
      </c>
      <c r="C14" s="34">
        <f>C8-C11</f>
        <v/>
      </c>
      <c r="D14" s="17" t="inlineStr">
        <is>
          <t>Wordt in de projectie gebruikt</t>
        </is>
      </c>
    </row>
    <row r="15" ht="17" customHeight="1">
      <c r="B15" s="18" t="inlineStr">
        <is>
          <t>Maandelijks rendement (samengesteld)</t>
        </is>
      </c>
      <c r="C15" s="35">
        <f>(1+C14)^(1/12)-1</f>
        <v/>
      </c>
    </row>
    <row r="17" ht="20" customHeight="1">
      <c r="B17" s="6" t="inlineStr">
        <is>
          <t>RESULTAAT NA DE GEKOZEN LOOPTIJD</t>
        </is>
      </c>
      <c r="C17" s="7" t="n"/>
      <c r="D17" s="7" t="n"/>
    </row>
    <row r="18" ht="20" customHeight="1">
      <c r="B18" s="20" t="inlineStr">
        <is>
          <t>Geprojecteerde eindwaarde</t>
        </is>
      </c>
      <c r="C18" s="21">
        <f>INDEX(J25:J65,C9+1)</f>
        <v/>
      </c>
    </row>
    <row r="19" ht="17" customHeight="1">
      <c r="B19" s="18" t="inlineStr">
        <is>
          <t>Totaal zelf ingelegd</t>
        </is>
      </c>
      <c r="C19" s="19">
        <f>INDEX(K25:K65,C9+1)</f>
        <v/>
      </c>
    </row>
    <row r="20" ht="17" customHeight="1">
      <c r="B20" s="18" t="inlineStr">
        <is>
          <t>Waarvan rendement</t>
        </is>
      </c>
      <c r="C20" s="19">
        <f>C18-C19</f>
        <v/>
      </c>
      <c r="D20" s="17" t="inlineStr">
        <is>
          <t>Het deel dat je geld voor je heeft verdiend</t>
        </is>
      </c>
    </row>
    <row r="21" ht="17" customHeight="1">
      <c r="B21" s="18" t="inlineStr">
        <is>
          <t>Eindwaarde in euro's van nu</t>
        </is>
      </c>
      <c r="C21" s="19">
        <f>INDEX(L25:L65,C9+1)</f>
        <v/>
      </c>
      <c r="D21" s="17" t="inlineStr">
        <is>
          <t>Gecorrigeerd voor inflatie: dit is je koopkracht</t>
        </is>
      </c>
    </row>
    <row r="24" ht="30" customHeight="1">
      <c r="F24" s="36" t="inlineStr">
        <is>
          <t>Jaar</t>
        </is>
      </c>
      <c r="G24" s="36" t="inlineStr">
        <is>
          <t>Beginwaarde</t>
        </is>
      </c>
      <c r="H24" s="36" t="inlineStr">
        <is>
          <t>Inleg dit jaar</t>
        </is>
      </c>
      <c r="I24" s="36" t="inlineStr">
        <is>
          <t>Rendement</t>
        </is>
      </c>
      <c r="J24" s="36" t="inlineStr">
        <is>
          <t>Eindwaarde</t>
        </is>
      </c>
      <c r="K24" s="36" t="inlineStr">
        <is>
          <t>Totaal ingelegd</t>
        </is>
      </c>
      <c r="L24" s="36" t="inlineStr">
        <is>
          <t>Waarde in euro's van nu</t>
        </is>
      </c>
    </row>
    <row r="25">
      <c r="F25" s="37">
        <f>IF(C$9&gt;=0,0,NA())</f>
        <v/>
      </c>
      <c r="G25" s="38">
        <f>IF(C$9&gt;=0,C$6,NA())</f>
        <v/>
      </c>
      <c r="H25" s="38">
        <f>IF(C$9&gt;=0,0,NA())</f>
        <v/>
      </c>
      <c r="I25" s="38">
        <f>IF(C$9&gt;=0,0,NA())</f>
        <v/>
      </c>
      <c r="J25" s="38">
        <f>IF(C$9&gt;=0,C$6,NA())</f>
        <v/>
      </c>
      <c r="K25" s="38">
        <f>IF(C$9&gt;=0,C$6,NA())</f>
        <v/>
      </c>
      <c r="L25" s="38">
        <f>IF(C$9&gt;=0,J25/(1+C$10)^0,NA())</f>
        <v/>
      </c>
    </row>
    <row r="26">
      <c r="F26" s="37">
        <f>IF(C$9&gt;=1,1,NA())</f>
        <v/>
      </c>
      <c r="G26" s="38">
        <f>IF(C$9&gt;=1,J25,NA())</f>
        <v/>
      </c>
      <c r="H26" s="38">
        <f>IF(C$9&gt;=1,C$7*12,NA())</f>
        <v/>
      </c>
      <c r="I26" s="38">
        <f>IF(C$9&gt;=1,J26-G26-H26,NA())</f>
        <v/>
      </c>
      <c r="J26" s="38">
        <f>IF(C$9&gt;=1,G26*(1+C$14)+IF(C$15=0,C$7*12,C$7*((1+C$15)^12-1)/C$15),NA())</f>
        <v/>
      </c>
      <c r="K26" s="38">
        <f>IF(C$9&gt;=1,K25+H26,NA())</f>
        <v/>
      </c>
      <c r="L26" s="38">
        <f>IF(C$9&gt;=1,J26/(1+C$10)^1,NA())</f>
        <v/>
      </c>
    </row>
    <row r="27">
      <c r="F27" s="37">
        <f>IF(C$9&gt;=2,2,NA())</f>
        <v/>
      </c>
      <c r="G27" s="38">
        <f>IF(C$9&gt;=2,J26,NA())</f>
        <v/>
      </c>
      <c r="H27" s="38">
        <f>IF(C$9&gt;=2,C$7*12,NA())</f>
        <v/>
      </c>
      <c r="I27" s="38">
        <f>IF(C$9&gt;=2,J27-G27-H27,NA())</f>
        <v/>
      </c>
      <c r="J27" s="38">
        <f>IF(C$9&gt;=2,G27*(1+C$14)+IF(C$15=0,C$7*12,C$7*((1+C$15)^12-1)/C$15),NA())</f>
        <v/>
      </c>
      <c r="K27" s="38">
        <f>IF(C$9&gt;=2,K26+H27,NA())</f>
        <v/>
      </c>
      <c r="L27" s="38">
        <f>IF(C$9&gt;=2,J27/(1+C$10)^2,NA())</f>
        <v/>
      </c>
    </row>
    <row r="28">
      <c r="F28" s="37">
        <f>IF(C$9&gt;=3,3,NA())</f>
        <v/>
      </c>
      <c r="G28" s="38">
        <f>IF(C$9&gt;=3,J27,NA())</f>
        <v/>
      </c>
      <c r="H28" s="38">
        <f>IF(C$9&gt;=3,C$7*12,NA())</f>
        <v/>
      </c>
      <c r="I28" s="38">
        <f>IF(C$9&gt;=3,J28-G28-H28,NA())</f>
        <v/>
      </c>
      <c r="J28" s="38">
        <f>IF(C$9&gt;=3,G28*(1+C$14)+IF(C$15=0,C$7*12,C$7*((1+C$15)^12-1)/C$15),NA())</f>
        <v/>
      </c>
      <c r="K28" s="38">
        <f>IF(C$9&gt;=3,K27+H28,NA())</f>
        <v/>
      </c>
      <c r="L28" s="38">
        <f>IF(C$9&gt;=3,J28/(1+C$10)^3,NA())</f>
        <v/>
      </c>
    </row>
    <row r="29">
      <c r="F29" s="37">
        <f>IF(C$9&gt;=4,4,NA())</f>
        <v/>
      </c>
      <c r="G29" s="38">
        <f>IF(C$9&gt;=4,J28,NA())</f>
        <v/>
      </c>
      <c r="H29" s="38">
        <f>IF(C$9&gt;=4,C$7*12,NA())</f>
        <v/>
      </c>
      <c r="I29" s="38">
        <f>IF(C$9&gt;=4,J29-G29-H29,NA())</f>
        <v/>
      </c>
      <c r="J29" s="38">
        <f>IF(C$9&gt;=4,G29*(1+C$14)+IF(C$15=0,C$7*12,C$7*((1+C$15)^12-1)/C$15),NA())</f>
        <v/>
      </c>
      <c r="K29" s="38">
        <f>IF(C$9&gt;=4,K28+H29,NA())</f>
        <v/>
      </c>
      <c r="L29" s="38">
        <f>IF(C$9&gt;=4,J29/(1+C$10)^4,NA())</f>
        <v/>
      </c>
    </row>
    <row r="30">
      <c r="F30" s="37">
        <f>IF(C$9&gt;=5,5,NA())</f>
        <v/>
      </c>
      <c r="G30" s="38">
        <f>IF(C$9&gt;=5,J29,NA())</f>
        <v/>
      </c>
      <c r="H30" s="38">
        <f>IF(C$9&gt;=5,C$7*12,NA())</f>
        <v/>
      </c>
      <c r="I30" s="38">
        <f>IF(C$9&gt;=5,J30-G30-H30,NA())</f>
        <v/>
      </c>
      <c r="J30" s="38">
        <f>IF(C$9&gt;=5,G30*(1+C$14)+IF(C$15=0,C$7*12,C$7*((1+C$15)^12-1)/C$15),NA())</f>
        <v/>
      </c>
      <c r="K30" s="38">
        <f>IF(C$9&gt;=5,K29+H30,NA())</f>
        <v/>
      </c>
      <c r="L30" s="38">
        <f>IF(C$9&gt;=5,J30/(1+C$10)^5,NA())</f>
        <v/>
      </c>
    </row>
    <row r="31">
      <c r="F31" s="37">
        <f>IF(C$9&gt;=6,6,NA())</f>
        <v/>
      </c>
      <c r="G31" s="38">
        <f>IF(C$9&gt;=6,J30,NA())</f>
        <v/>
      </c>
      <c r="H31" s="38">
        <f>IF(C$9&gt;=6,C$7*12,NA())</f>
        <v/>
      </c>
      <c r="I31" s="38">
        <f>IF(C$9&gt;=6,J31-G31-H31,NA())</f>
        <v/>
      </c>
      <c r="J31" s="38">
        <f>IF(C$9&gt;=6,G31*(1+C$14)+IF(C$15=0,C$7*12,C$7*((1+C$15)^12-1)/C$15),NA())</f>
        <v/>
      </c>
      <c r="K31" s="38">
        <f>IF(C$9&gt;=6,K30+H31,NA())</f>
        <v/>
      </c>
      <c r="L31" s="38">
        <f>IF(C$9&gt;=6,J31/(1+C$10)^6,NA())</f>
        <v/>
      </c>
    </row>
    <row r="32">
      <c r="F32" s="37">
        <f>IF(C$9&gt;=7,7,NA())</f>
        <v/>
      </c>
      <c r="G32" s="38">
        <f>IF(C$9&gt;=7,J31,NA())</f>
        <v/>
      </c>
      <c r="H32" s="38">
        <f>IF(C$9&gt;=7,C$7*12,NA())</f>
        <v/>
      </c>
      <c r="I32" s="38">
        <f>IF(C$9&gt;=7,J32-G32-H32,NA())</f>
        <v/>
      </c>
      <c r="J32" s="38">
        <f>IF(C$9&gt;=7,G32*(1+C$14)+IF(C$15=0,C$7*12,C$7*((1+C$15)^12-1)/C$15),NA())</f>
        <v/>
      </c>
      <c r="K32" s="38">
        <f>IF(C$9&gt;=7,K31+H32,NA())</f>
        <v/>
      </c>
      <c r="L32" s="38">
        <f>IF(C$9&gt;=7,J32/(1+C$10)^7,NA())</f>
        <v/>
      </c>
    </row>
    <row r="33">
      <c r="F33" s="37">
        <f>IF(C$9&gt;=8,8,NA())</f>
        <v/>
      </c>
      <c r="G33" s="38">
        <f>IF(C$9&gt;=8,J32,NA())</f>
        <v/>
      </c>
      <c r="H33" s="38">
        <f>IF(C$9&gt;=8,C$7*12,NA())</f>
        <v/>
      </c>
      <c r="I33" s="38">
        <f>IF(C$9&gt;=8,J33-G33-H33,NA())</f>
        <v/>
      </c>
      <c r="J33" s="38">
        <f>IF(C$9&gt;=8,G33*(1+C$14)+IF(C$15=0,C$7*12,C$7*((1+C$15)^12-1)/C$15),NA())</f>
        <v/>
      </c>
      <c r="K33" s="38">
        <f>IF(C$9&gt;=8,K32+H33,NA())</f>
        <v/>
      </c>
      <c r="L33" s="38">
        <f>IF(C$9&gt;=8,J33/(1+C$10)^8,NA())</f>
        <v/>
      </c>
    </row>
    <row r="34">
      <c r="F34" s="37">
        <f>IF(C$9&gt;=9,9,NA())</f>
        <v/>
      </c>
      <c r="G34" s="38">
        <f>IF(C$9&gt;=9,J33,NA())</f>
        <v/>
      </c>
      <c r="H34" s="38">
        <f>IF(C$9&gt;=9,C$7*12,NA())</f>
        <v/>
      </c>
      <c r="I34" s="38">
        <f>IF(C$9&gt;=9,J34-G34-H34,NA())</f>
        <v/>
      </c>
      <c r="J34" s="38">
        <f>IF(C$9&gt;=9,G34*(1+C$14)+IF(C$15=0,C$7*12,C$7*((1+C$15)^12-1)/C$15),NA())</f>
        <v/>
      </c>
      <c r="K34" s="38">
        <f>IF(C$9&gt;=9,K33+H34,NA())</f>
        <v/>
      </c>
      <c r="L34" s="38">
        <f>IF(C$9&gt;=9,J34/(1+C$10)^9,NA())</f>
        <v/>
      </c>
    </row>
    <row r="35">
      <c r="F35" s="37">
        <f>IF(C$9&gt;=10,10,NA())</f>
        <v/>
      </c>
      <c r="G35" s="38">
        <f>IF(C$9&gt;=10,J34,NA())</f>
        <v/>
      </c>
      <c r="H35" s="38">
        <f>IF(C$9&gt;=10,C$7*12,NA())</f>
        <v/>
      </c>
      <c r="I35" s="38">
        <f>IF(C$9&gt;=10,J35-G35-H35,NA())</f>
        <v/>
      </c>
      <c r="J35" s="38">
        <f>IF(C$9&gt;=10,G35*(1+C$14)+IF(C$15=0,C$7*12,C$7*((1+C$15)^12-1)/C$15),NA())</f>
        <v/>
      </c>
      <c r="K35" s="38">
        <f>IF(C$9&gt;=10,K34+H35,NA())</f>
        <v/>
      </c>
      <c r="L35" s="38">
        <f>IF(C$9&gt;=10,J35/(1+C$10)^10,NA())</f>
        <v/>
      </c>
    </row>
    <row r="36">
      <c r="F36" s="37">
        <f>IF(C$9&gt;=11,11,NA())</f>
        <v/>
      </c>
      <c r="G36" s="38">
        <f>IF(C$9&gt;=11,J35,NA())</f>
        <v/>
      </c>
      <c r="H36" s="38">
        <f>IF(C$9&gt;=11,C$7*12,NA())</f>
        <v/>
      </c>
      <c r="I36" s="38">
        <f>IF(C$9&gt;=11,J36-G36-H36,NA())</f>
        <v/>
      </c>
      <c r="J36" s="38">
        <f>IF(C$9&gt;=11,G36*(1+C$14)+IF(C$15=0,C$7*12,C$7*((1+C$15)^12-1)/C$15),NA())</f>
        <v/>
      </c>
      <c r="K36" s="38">
        <f>IF(C$9&gt;=11,K35+H36,NA())</f>
        <v/>
      </c>
      <c r="L36" s="38">
        <f>IF(C$9&gt;=11,J36/(1+C$10)^11,NA())</f>
        <v/>
      </c>
    </row>
    <row r="37">
      <c r="F37" s="37">
        <f>IF(C$9&gt;=12,12,NA())</f>
        <v/>
      </c>
      <c r="G37" s="38">
        <f>IF(C$9&gt;=12,J36,NA())</f>
        <v/>
      </c>
      <c r="H37" s="38">
        <f>IF(C$9&gt;=12,C$7*12,NA())</f>
        <v/>
      </c>
      <c r="I37" s="38">
        <f>IF(C$9&gt;=12,J37-G37-H37,NA())</f>
        <v/>
      </c>
      <c r="J37" s="38">
        <f>IF(C$9&gt;=12,G37*(1+C$14)+IF(C$15=0,C$7*12,C$7*((1+C$15)^12-1)/C$15),NA())</f>
        <v/>
      </c>
      <c r="K37" s="38">
        <f>IF(C$9&gt;=12,K36+H37,NA())</f>
        <v/>
      </c>
      <c r="L37" s="38">
        <f>IF(C$9&gt;=12,J37/(1+C$10)^12,NA())</f>
        <v/>
      </c>
    </row>
    <row r="38">
      <c r="F38" s="37">
        <f>IF(C$9&gt;=13,13,NA())</f>
        <v/>
      </c>
      <c r="G38" s="38">
        <f>IF(C$9&gt;=13,J37,NA())</f>
        <v/>
      </c>
      <c r="H38" s="38">
        <f>IF(C$9&gt;=13,C$7*12,NA())</f>
        <v/>
      </c>
      <c r="I38" s="38">
        <f>IF(C$9&gt;=13,J38-G38-H38,NA())</f>
        <v/>
      </c>
      <c r="J38" s="38">
        <f>IF(C$9&gt;=13,G38*(1+C$14)+IF(C$15=0,C$7*12,C$7*((1+C$15)^12-1)/C$15),NA())</f>
        <v/>
      </c>
      <c r="K38" s="38">
        <f>IF(C$9&gt;=13,K37+H38,NA())</f>
        <v/>
      </c>
      <c r="L38" s="38">
        <f>IF(C$9&gt;=13,J38/(1+C$10)^13,NA())</f>
        <v/>
      </c>
    </row>
    <row r="39">
      <c r="F39" s="37">
        <f>IF(C$9&gt;=14,14,NA())</f>
        <v/>
      </c>
      <c r="G39" s="38">
        <f>IF(C$9&gt;=14,J38,NA())</f>
        <v/>
      </c>
      <c r="H39" s="38">
        <f>IF(C$9&gt;=14,C$7*12,NA())</f>
        <v/>
      </c>
      <c r="I39" s="38">
        <f>IF(C$9&gt;=14,J39-G39-H39,NA())</f>
        <v/>
      </c>
      <c r="J39" s="38">
        <f>IF(C$9&gt;=14,G39*(1+C$14)+IF(C$15=0,C$7*12,C$7*((1+C$15)^12-1)/C$15),NA())</f>
        <v/>
      </c>
      <c r="K39" s="38">
        <f>IF(C$9&gt;=14,K38+H39,NA())</f>
        <v/>
      </c>
      <c r="L39" s="38">
        <f>IF(C$9&gt;=14,J39/(1+C$10)^14,NA())</f>
        <v/>
      </c>
    </row>
    <row r="40">
      <c r="F40" s="37">
        <f>IF(C$9&gt;=15,15,NA())</f>
        <v/>
      </c>
      <c r="G40" s="38">
        <f>IF(C$9&gt;=15,J39,NA())</f>
        <v/>
      </c>
      <c r="H40" s="38">
        <f>IF(C$9&gt;=15,C$7*12,NA())</f>
        <v/>
      </c>
      <c r="I40" s="38">
        <f>IF(C$9&gt;=15,J40-G40-H40,NA())</f>
        <v/>
      </c>
      <c r="J40" s="38">
        <f>IF(C$9&gt;=15,G40*(1+C$14)+IF(C$15=0,C$7*12,C$7*((1+C$15)^12-1)/C$15),NA())</f>
        <v/>
      </c>
      <c r="K40" s="38">
        <f>IF(C$9&gt;=15,K39+H40,NA())</f>
        <v/>
      </c>
      <c r="L40" s="38">
        <f>IF(C$9&gt;=15,J40/(1+C$10)^15,NA())</f>
        <v/>
      </c>
    </row>
    <row r="41">
      <c r="F41" s="37">
        <f>IF(C$9&gt;=16,16,NA())</f>
        <v/>
      </c>
      <c r="G41" s="38">
        <f>IF(C$9&gt;=16,J40,NA())</f>
        <v/>
      </c>
      <c r="H41" s="38">
        <f>IF(C$9&gt;=16,C$7*12,NA())</f>
        <v/>
      </c>
      <c r="I41" s="38">
        <f>IF(C$9&gt;=16,J41-G41-H41,NA())</f>
        <v/>
      </c>
      <c r="J41" s="38">
        <f>IF(C$9&gt;=16,G41*(1+C$14)+IF(C$15=0,C$7*12,C$7*((1+C$15)^12-1)/C$15),NA())</f>
        <v/>
      </c>
      <c r="K41" s="38">
        <f>IF(C$9&gt;=16,K40+H41,NA())</f>
        <v/>
      </c>
      <c r="L41" s="38">
        <f>IF(C$9&gt;=16,J41/(1+C$10)^16,NA())</f>
        <v/>
      </c>
    </row>
    <row r="42">
      <c r="F42" s="37">
        <f>IF(C$9&gt;=17,17,NA())</f>
        <v/>
      </c>
      <c r="G42" s="38">
        <f>IF(C$9&gt;=17,J41,NA())</f>
        <v/>
      </c>
      <c r="H42" s="38">
        <f>IF(C$9&gt;=17,C$7*12,NA())</f>
        <v/>
      </c>
      <c r="I42" s="38">
        <f>IF(C$9&gt;=17,J42-G42-H42,NA())</f>
        <v/>
      </c>
      <c r="J42" s="38">
        <f>IF(C$9&gt;=17,G42*(1+C$14)+IF(C$15=0,C$7*12,C$7*((1+C$15)^12-1)/C$15),NA())</f>
        <v/>
      </c>
      <c r="K42" s="38">
        <f>IF(C$9&gt;=17,K41+H42,NA())</f>
        <v/>
      </c>
      <c r="L42" s="38">
        <f>IF(C$9&gt;=17,J42/(1+C$10)^17,NA())</f>
        <v/>
      </c>
    </row>
    <row r="43">
      <c r="F43" s="37">
        <f>IF(C$9&gt;=18,18,NA())</f>
        <v/>
      </c>
      <c r="G43" s="38">
        <f>IF(C$9&gt;=18,J42,NA())</f>
        <v/>
      </c>
      <c r="H43" s="38">
        <f>IF(C$9&gt;=18,C$7*12,NA())</f>
        <v/>
      </c>
      <c r="I43" s="38">
        <f>IF(C$9&gt;=18,J43-G43-H43,NA())</f>
        <v/>
      </c>
      <c r="J43" s="38">
        <f>IF(C$9&gt;=18,G43*(1+C$14)+IF(C$15=0,C$7*12,C$7*((1+C$15)^12-1)/C$15),NA())</f>
        <v/>
      </c>
      <c r="K43" s="38">
        <f>IF(C$9&gt;=18,K42+H43,NA())</f>
        <v/>
      </c>
      <c r="L43" s="38">
        <f>IF(C$9&gt;=18,J43/(1+C$10)^18,NA())</f>
        <v/>
      </c>
    </row>
    <row r="44">
      <c r="F44" s="37">
        <f>IF(C$9&gt;=19,19,NA())</f>
        <v/>
      </c>
      <c r="G44" s="38">
        <f>IF(C$9&gt;=19,J43,NA())</f>
        <v/>
      </c>
      <c r="H44" s="38">
        <f>IF(C$9&gt;=19,C$7*12,NA())</f>
        <v/>
      </c>
      <c r="I44" s="38">
        <f>IF(C$9&gt;=19,J44-G44-H44,NA())</f>
        <v/>
      </c>
      <c r="J44" s="38">
        <f>IF(C$9&gt;=19,G44*(1+C$14)+IF(C$15=0,C$7*12,C$7*((1+C$15)^12-1)/C$15),NA())</f>
        <v/>
      </c>
      <c r="K44" s="38">
        <f>IF(C$9&gt;=19,K43+H44,NA())</f>
        <v/>
      </c>
      <c r="L44" s="38">
        <f>IF(C$9&gt;=19,J44/(1+C$10)^19,NA())</f>
        <v/>
      </c>
    </row>
    <row r="45">
      <c r="F45" s="37">
        <f>IF(C$9&gt;=20,20,NA())</f>
        <v/>
      </c>
      <c r="G45" s="38">
        <f>IF(C$9&gt;=20,J44,NA())</f>
        <v/>
      </c>
      <c r="H45" s="38">
        <f>IF(C$9&gt;=20,C$7*12,NA())</f>
        <v/>
      </c>
      <c r="I45" s="38">
        <f>IF(C$9&gt;=20,J45-G45-H45,NA())</f>
        <v/>
      </c>
      <c r="J45" s="38">
        <f>IF(C$9&gt;=20,G45*(1+C$14)+IF(C$15=0,C$7*12,C$7*((1+C$15)^12-1)/C$15),NA())</f>
        <v/>
      </c>
      <c r="K45" s="38">
        <f>IF(C$9&gt;=20,K44+H45,NA())</f>
        <v/>
      </c>
      <c r="L45" s="38">
        <f>IF(C$9&gt;=20,J45/(1+C$10)^20,NA())</f>
        <v/>
      </c>
    </row>
    <row r="46">
      <c r="F46" s="37">
        <f>IF(C$9&gt;=21,21,NA())</f>
        <v/>
      </c>
      <c r="G46" s="38">
        <f>IF(C$9&gt;=21,J45,NA())</f>
        <v/>
      </c>
      <c r="H46" s="38">
        <f>IF(C$9&gt;=21,C$7*12,NA())</f>
        <v/>
      </c>
      <c r="I46" s="38">
        <f>IF(C$9&gt;=21,J46-G46-H46,NA())</f>
        <v/>
      </c>
      <c r="J46" s="38">
        <f>IF(C$9&gt;=21,G46*(1+C$14)+IF(C$15=0,C$7*12,C$7*((1+C$15)^12-1)/C$15),NA())</f>
        <v/>
      </c>
      <c r="K46" s="38">
        <f>IF(C$9&gt;=21,K45+H46,NA())</f>
        <v/>
      </c>
      <c r="L46" s="38">
        <f>IF(C$9&gt;=21,J46/(1+C$10)^21,NA())</f>
        <v/>
      </c>
    </row>
    <row r="47">
      <c r="F47" s="37">
        <f>IF(C$9&gt;=22,22,NA())</f>
        <v/>
      </c>
      <c r="G47" s="38">
        <f>IF(C$9&gt;=22,J46,NA())</f>
        <v/>
      </c>
      <c r="H47" s="38">
        <f>IF(C$9&gt;=22,C$7*12,NA())</f>
        <v/>
      </c>
      <c r="I47" s="38">
        <f>IF(C$9&gt;=22,J47-G47-H47,NA())</f>
        <v/>
      </c>
      <c r="J47" s="38">
        <f>IF(C$9&gt;=22,G47*(1+C$14)+IF(C$15=0,C$7*12,C$7*((1+C$15)^12-1)/C$15),NA())</f>
        <v/>
      </c>
      <c r="K47" s="38">
        <f>IF(C$9&gt;=22,K46+H47,NA())</f>
        <v/>
      </c>
      <c r="L47" s="38">
        <f>IF(C$9&gt;=22,J47/(1+C$10)^22,NA())</f>
        <v/>
      </c>
    </row>
    <row r="48">
      <c r="F48" s="37">
        <f>IF(C$9&gt;=23,23,NA())</f>
        <v/>
      </c>
      <c r="G48" s="38">
        <f>IF(C$9&gt;=23,J47,NA())</f>
        <v/>
      </c>
      <c r="H48" s="38">
        <f>IF(C$9&gt;=23,C$7*12,NA())</f>
        <v/>
      </c>
      <c r="I48" s="38">
        <f>IF(C$9&gt;=23,J48-G48-H48,NA())</f>
        <v/>
      </c>
      <c r="J48" s="38">
        <f>IF(C$9&gt;=23,G48*(1+C$14)+IF(C$15=0,C$7*12,C$7*((1+C$15)^12-1)/C$15),NA())</f>
        <v/>
      </c>
      <c r="K48" s="38">
        <f>IF(C$9&gt;=23,K47+H48,NA())</f>
        <v/>
      </c>
      <c r="L48" s="38">
        <f>IF(C$9&gt;=23,J48/(1+C$10)^23,NA())</f>
        <v/>
      </c>
    </row>
    <row r="49">
      <c r="F49" s="37">
        <f>IF(C$9&gt;=24,24,NA())</f>
        <v/>
      </c>
      <c r="G49" s="38">
        <f>IF(C$9&gt;=24,J48,NA())</f>
        <v/>
      </c>
      <c r="H49" s="38">
        <f>IF(C$9&gt;=24,C$7*12,NA())</f>
        <v/>
      </c>
      <c r="I49" s="38">
        <f>IF(C$9&gt;=24,J49-G49-H49,NA())</f>
        <v/>
      </c>
      <c r="J49" s="38">
        <f>IF(C$9&gt;=24,G49*(1+C$14)+IF(C$15=0,C$7*12,C$7*((1+C$15)^12-1)/C$15),NA())</f>
        <v/>
      </c>
      <c r="K49" s="38">
        <f>IF(C$9&gt;=24,K48+H49,NA())</f>
        <v/>
      </c>
      <c r="L49" s="38">
        <f>IF(C$9&gt;=24,J49/(1+C$10)^24,NA())</f>
        <v/>
      </c>
    </row>
    <row r="50">
      <c r="F50" s="37">
        <f>IF(C$9&gt;=25,25,NA())</f>
        <v/>
      </c>
      <c r="G50" s="38">
        <f>IF(C$9&gt;=25,J49,NA())</f>
        <v/>
      </c>
      <c r="H50" s="38">
        <f>IF(C$9&gt;=25,C$7*12,NA())</f>
        <v/>
      </c>
      <c r="I50" s="38">
        <f>IF(C$9&gt;=25,J50-G50-H50,NA())</f>
        <v/>
      </c>
      <c r="J50" s="38">
        <f>IF(C$9&gt;=25,G50*(1+C$14)+IF(C$15=0,C$7*12,C$7*((1+C$15)^12-1)/C$15),NA())</f>
        <v/>
      </c>
      <c r="K50" s="38">
        <f>IF(C$9&gt;=25,K49+H50,NA())</f>
        <v/>
      </c>
      <c r="L50" s="38">
        <f>IF(C$9&gt;=25,J50/(1+C$10)^25,NA())</f>
        <v/>
      </c>
    </row>
    <row r="51">
      <c r="F51" s="37">
        <f>IF(C$9&gt;=26,26,NA())</f>
        <v/>
      </c>
      <c r="G51" s="38">
        <f>IF(C$9&gt;=26,J50,NA())</f>
        <v/>
      </c>
      <c r="H51" s="38">
        <f>IF(C$9&gt;=26,C$7*12,NA())</f>
        <v/>
      </c>
      <c r="I51" s="38">
        <f>IF(C$9&gt;=26,J51-G51-H51,NA())</f>
        <v/>
      </c>
      <c r="J51" s="38">
        <f>IF(C$9&gt;=26,G51*(1+C$14)+IF(C$15=0,C$7*12,C$7*((1+C$15)^12-1)/C$15),NA())</f>
        <v/>
      </c>
      <c r="K51" s="38">
        <f>IF(C$9&gt;=26,K50+H51,NA())</f>
        <v/>
      </c>
      <c r="L51" s="38">
        <f>IF(C$9&gt;=26,J51/(1+C$10)^26,NA())</f>
        <v/>
      </c>
    </row>
    <row r="52">
      <c r="F52" s="37">
        <f>IF(C$9&gt;=27,27,NA())</f>
        <v/>
      </c>
      <c r="G52" s="38">
        <f>IF(C$9&gt;=27,J51,NA())</f>
        <v/>
      </c>
      <c r="H52" s="38">
        <f>IF(C$9&gt;=27,C$7*12,NA())</f>
        <v/>
      </c>
      <c r="I52" s="38">
        <f>IF(C$9&gt;=27,J52-G52-H52,NA())</f>
        <v/>
      </c>
      <c r="J52" s="38">
        <f>IF(C$9&gt;=27,G52*(1+C$14)+IF(C$15=0,C$7*12,C$7*((1+C$15)^12-1)/C$15),NA())</f>
        <v/>
      </c>
      <c r="K52" s="38">
        <f>IF(C$9&gt;=27,K51+H52,NA())</f>
        <v/>
      </c>
      <c r="L52" s="38">
        <f>IF(C$9&gt;=27,J52/(1+C$10)^27,NA())</f>
        <v/>
      </c>
    </row>
    <row r="53">
      <c r="F53" s="37">
        <f>IF(C$9&gt;=28,28,NA())</f>
        <v/>
      </c>
      <c r="G53" s="38">
        <f>IF(C$9&gt;=28,J52,NA())</f>
        <v/>
      </c>
      <c r="H53" s="38">
        <f>IF(C$9&gt;=28,C$7*12,NA())</f>
        <v/>
      </c>
      <c r="I53" s="38">
        <f>IF(C$9&gt;=28,J53-G53-H53,NA())</f>
        <v/>
      </c>
      <c r="J53" s="38">
        <f>IF(C$9&gt;=28,G53*(1+C$14)+IF(C$15=0,C$7*12,C$7*((1+C$15)^12-1)/C$15),NA())</f>
        <v/>
      </c>
      <c r="K53" s="38">
        <f>IF(C$9&gt;=28,K52+H53,NA())</f>
        <v/>
      </c>
      <c r="L53" s="38">
        <f>IF(C$9&gt;=28,J53/(1+C$10)^28,NA())</f>
        <v/>
      </c>
    </row>
    <row r="54">
      <c r="F54" s="37">
        <f>IF(C$9&gt;=29,29,NA())</f>
        <v/>
      </c>
      <c r="G54" s="38">
        <f>IF(C$9&gt;=29,J53,NA())</f>
        <v/>
      </c>
      <c r="H54" s="38">
        <f>IF(C$9&gt;=29,C$7*12,NA())</f>
        <v/>
      </c>
      <c r="I54" s="38">
        <f>IF(C$9&gt;=29,J54-G54-H54,NA())</f>
        <v/>
      </c>
      <c r="J54" s="38">
        <f>IF(C$9&gt;=29,G54*(1+C$14)+IF(C$15=0,C$7*12,C$7*((1+C$15)^12-1)/C$15),NA())</f>
        <v/>
      </c>
      <c r="K54" s="38">
        <f>IF(C$9&gt;=29,K53+H54,NA())</f>
        <v/>
      </c>
      <c r="L54" s="38">
        <f>IF(C$9&gt;=29,J54/(1+C$10)^29,NA())</f>
        <v/>
      </c>
    </row>
    <row r="55">
      <c r="F55" s="37">
        <f>IF(C$9&gt;=30,30,NA())</f>
        <v/>
      </c>
      <c r="G55" s="38">
        <f>IF(C$9&gt;=30,J54,NA())</f>
        <v/>
      </c>
      <c r="H55" s="38">
        <f>IF(C$9&gt;=30,C$7*12,NA())</f>
        <v/>
      </c>
      <c r="I55" s="38">
        <f>IF(C$9&gt;=30,J55-G55-H55,NA())</f>
        <v/>
      </c>
      <c r="J55" s="38">
        <f>IF(C$9&gt;=30,G55*(1+C$14)+IF(C$15=0,C$7*12,C$7*((1+C$15)^12-1)/C$15),NA())</f>
        <v/>
      </c>
      <c r="K55" s="38">
        <f>IF(C$9&gt;=30,K54+H55,NA())</f>
        <v/>
      </c>
      <c r="L55" s="38">
        <f>IF(C$9&gt;=30,J55/(1+C$10)^30,NA())</f>
        <v/>
      </c>
    </row>
    <row r="56">
      <c r="F56" s="37">
        <f>IF(C$9&gt;=31,31,NA())</f>
        <v/>
      </c>
      <c r="G56" s="38">
        <f>IF(C$9&gt;=31,J55,NA())</f>
        <v/>
      </c>
      <c r="H56" s="38">
        <f>IF(C$9&gt;=31,C$7*12,NA())</f>
        <v/>
      </c>
      <c r="I56" s="38">
        <f>IF(C$9&gt;=31,J56-G56-H56,NA())</f>
        <v/>
      </c>
      <c r="J56" s="38">
        <f>IF(C$9&gt;=31,G56*(1+C$14)+IF(C$15=0,C$7*12,C$7*((1+C$15)^12-1)/C$15),NA())</f>
        <v/>
      </c>
      <c r="K56" s="38">
        <f>IF(C$9&gt;=31,K55+H56,NA())</f>
        <v/>
      </c>
      <c r="L56" s="38">
        <f>IF(C$9&gt;=31,J56/(1+C$10)^31,NA())</f>
        <v/>
      </c>
    </row>
    <row r="57">
      <c r="F57" s="37">
        <f>IF(C$9&gt;=32,32,NA())</f>
        <v/>
      </c>
      <c r="G57" s="38">
        <f>IF(C$9&gt;=32,J56,NA())</f>
        <v/>
      </c>
      <c r="H57" s="38">
        <f>IF(C$9&gt;=32,C$7*12,NA())</f>
        <v/>
      </c>
      <c r="I57" s="38">
        <f>IF(C$9&gt;=32,J57-G57-H57,NA())</f>
        <v/>
      </c>
      <c r="J57" s="38">
        <f>IF(C$9&gt;=32,G57*(1+C$14)+IF(C$15=0,C$7*12,C$7*((1+C$15)^12-1)/C$15),NA())</f>
        <v/>
      </c>
      <c r="K57" s="38">
        <f>IF(C$9&gt;=32,K56+H57,NA())</f>
        <v/>
      </c>
      <c r="L57" s="38">
        <f>IF(C$9&gt;=32,J57/(1+C$10)^32,NA())</f>
        <v/>
      </c>
    </row>
    <row r="58">
      <c r="F58" s="37">
        <f>IF(C$9&gt;=33,33,NA())</f>
        <v/>
      </c>
      <c r="G58" s="38">
        <f>IF(C$9&gt;=33,J57,NA())</f>
        <v/>
      </c>
      <c r="H58" s="38">
        <f>IF(C$9&gt;=33,C$7*12,NA())</f>
        <v/>
      </c>
      <c r="I58" s="38">
        <f>IF(C$9&gt;=33,J58-G58-H58,NA())</f>
        <v/>
      </c>
      <c r="J58" s="38">
        <f>IF(C$9&gt;=33,G58*(1+C$14)+IF(C$15=0,C$7*12,C$7*((1+C$15)^12-1)/C$15),NA())</f>
        <v/>
      </c>
      <c r="K58" s="38">
        <f>IF(C$9&gt;=33,K57+H58,NA())</f>
        <v/>
      </c>
      <c r="L58" s="38">
        <f>IF(C$9&gt;=33,J58/(1+C$10)^33,NA())</f>
        <v/>
      </c>
    </row>
    <row r="59">
      <c r="F59" s="37">
        <f>IF(C$9&gt;=34,34,NA())</f>
        <v/>
      </c>
      <c r="G59" s="38">
        <f>IF(C$9&gt;=34,J58,NA())</f>
        <v/>
      </c>
      <c r="H59" s="38">
        <f>IF(C$9&gt;=34,C$7*12,NA())</f>
        <v/>
      </c>
      <c r="I59" s="38">
        <f>IF(C$9&gt;=34,J59-G59-H59,NA())</f>
        <v/>
      </c>
      <c r="J59" s="38">
        <f>IF(C$9&gt;=34,G59*(1+C$14)+IF(C$15=0,C$7*12,C$7*((1+C$15)^12-1)/C$15),NA())</f>
        <v/>
      </c>
      <c r="K59" s="38">
        <f>IF(C$9&gt;=34,K58+H59,NA())</f>
        <v/>
      </c>
      <c r="L59" s="38">
        <f>IF(C$9&gt;=34,J59/(1+C$10)^34,NA())</f>
        <v/>
      </c>
    </row>
    <row r="60">
      <c r="F60" s="37">
        <f>IF(C$9&gt;=35,35,NA())</f>
        <v/>
      </c>
      <c r="G60" s="38">
        <f>IF(C$9&gt;=35,J59,NA())</f>
        <v/>
      </c>
      <c r="H60" s="38">
        <f>IF(C$9&gt;=35,C$7*12,NA())</f>
        <v/>
      </c>
      <c r="I60" s="38">
        <f>IF(C$9&gt;=35,J60-G60-H60,NA())</f>
        <v/>
      </c>
      <c r="J60" s="38">
        <f>IF(C$9&gt;=35,G60*(1+C$14)+IF(C$15=0,C$7*12,C$7*((1+C$15)^12-1)/C$15),NA())</f>
        <v/>
      </c>
      <c r="K60" s="38">
        <f>IF(C$9&gt;=35,K59+H60,NA())</f>
        <v/>
      </c>
      <c r="L60" s="38">
        <f>IF(C$9&gt;=35,J60/(1+C$10)^35,NA())</f>
        <v/>
      </c>
    </row>
    <row r="61">
      <c r="F61" s="37">
        <f>IF(C$9&gt;=36,36,NA())</f>
        <v/>
      </c>
      <c r="G61" s="38">
        <f>IF(C$9&gt;=36,J60,NA())</f>
        <v/>
      </c>
      <c r="H61" s="38">
        <f>IF(C$9&gt;=36,C$7*12,NA())</f>
        <v/>
      </c>
      <c r="I61" s="38">
        <f>IF(C$9&gt;=36,J61-G61-H61,NA())</f>
        <v/>
      </c>
      <c r="J61" s="38">
        <f>IF(C$9&gt;=36,G61*(1+C$14)+IF(C$15=0,C$7*12,C$7*((1+C$15)^12-1)/C$15),NA())</f>
        <v/>
      </c>
      <c r="K61" s="38">
        <f>IF(C$9&gt;=36,K60+H61,NA())</f>
        <v/>
      </c>
      <c r="L61" s="38">
        <f>IF(C$9&gt;=36,J61/(1+C$10)^36,NA())</f>
        <v/>
      </c>
    </row>
    <row r="62">
      <c r="F62" s="37">
        <f>IF(C$9&gt;=37,37,NA())</f>
        <v/>
      </c>
      <c r="G62" s="38">
        <f>IF(C$9&gt;=37,J61,NA())</f>
        <v/>
      </c>
      <c r="H62" s="38">
        <f>IF(C$9&gt;=37,C$7*12,NA())</f>
        <v/>
      </c>
      <c r="I62" s="38">
        <f>IF(C$9&gt;=37,J62-G62-H62,NA())</f>
        <v/>
      </c>
      <c r="J62" s="38">
        <f>IF(C$9&gt;=37,G62*(1+C$14)+IF(C$15=0,C$7*12,C$7*((1+C$15)^12-1)/C$15),NA())</f>
        <v/>
      </c>
      <c r="K62" s="38">
        <f>IF(C$9&gt;=37,K61+H62,NA())</f>
        <v/>
      </c>
      <c r="L62" s="38">
        <f>IF(C$9&gt;=37,J62/(1+C$10)^37,NA())</f>
        <v/>
      </c>
    </row>
    <row r="63">
      <c r="F63" s="37">
        <f>IF(C$9&gt;=38,38,NA())</f>
        <v/>
      </c>
      <c r="G63" s="38">
        <f>IF(C$9&gt;=38,J62,NA())</f>
        <v/>
      </c>
      <c r="H63" s="38">
        <f>IF(C$9&gt;=38,C$7*12,NA())</f>
        <v/>
      </c>
      <c r="I63" s="38">
        <f>IF(C$9&gt;=38,J63-G63-H63,NA())</f>
        <v/>
      </c>
      <c r="J63" s="38">
        <f>IF(C$9&gt;=38,G63*(1+C$14)+IF(C$15=0,C$7*12,C$7*((1+C$15)^12-1)/C$15),NA())</f>
        <v/>
      </c>
      <c r="K63" s="38">
        <f>IF(C$9&gt;=38,K62+H63,NA())</f>
        <v/>
      </c>
      <c r="L63" s="38">
        <f>IF(C$9&gt;=38,J63/(1+C$10)^38,NA())</f>
        <v/>
      </c>
    </row>
    <row r="64">
      <c r="F64" s="37">
        <f>IF(C$9&gt;=39,39,NA())</f>
        <v/>
      </c>
      <c r="G64" s="38">
        <f>IF(C$9&gt;=39,J63,NA())</f>
        <v/>
      </c>
      <c r="H64" s="38">
        <f>IF(C$9&gt;=39,C$7*12,NA())</f>
        <v/>
      </c>
      <c r="I64" s="38">
        <f>IF(C$9&gt;=39,J64-G64-H64,NA())</f>
        <v/>
      </c>
      <c r="J64" s="38">
        <f>IF(C$9&gt;=39,G64*(1+C$14)+IF(C$15=0,C$7*12,C$7*((1+C$15)^12-1)/C$15),NA())</f>
        <v/>
      </c>
      <c r="K64" s="38">
        <f>IF(C$9&gt;=39,K63+H64,NA())</f>
        <v/>
      </c>
      <c r="L64" s="38">
        <f>IF(C$9&gt;=39,J64/(1+C$10)^39,NA())</f>
        <v/>
      </c>
    </row>
    <row r="65">
      <c r="F65" s="37">
        <f>IF(C$9&gt;=40,40,NA())</f>
        <v/>
      </c>
      <c r="G65" s="38">
        <f>IF(C$9&gt;=40,J64,NA())</f>
        <v/>
      </c>
      <c r="H65" s="38">
        <f>IF(C$9&gt;=40,C$7*12,NA())</f>
        <v/>
      </c>
      <c r="I65" s="38">
        <f>IF(C$9&gt;=40,J65-G65-H65,NA())</f>
        <v/>
      </c>
      <c r="J65" s="38">
        <f>IF(C$9&gt;=40,G65*(1+C$14)+IF(C$15=0,C$7*12,C$7*((1+C$15)^12-1)/C$15),NA())</f>
        <v/>
      </c>
      <c r="K65" s="38">
        <f>IF(C$9&gt;=40,K64+H65,NA())</f>
        <v/>
      </c>
      <c r="L65" s="38">
        <f>IF(C$9&gt;=40,J65/(1+C$10)^40,NA())</f>
        <v/>
      </c>
    </row>
    <row r="67">
      <c r="B67" s="5" t="inlineStr">
        <is>
          <t>De projectie rekent met maandelijkse bijstortingen en samengestelde groei op basis van het rendement ná kosten.</t>
        </is>
      </c>
    </row>
    <row r="68">
      <c r="B68" s="5" t="inlineStr">
        <is>
          <t>Deze tool is uitsluitend bedoeld voor informatieve doeleinden en biedt geen financieel advies. Rendementen uit het verleden bieden geen garantie voor de toekomst.</t>
        </is>
      </c>
    </row>
  </sheetData>
  <sheetProtection selectLockedCells="0" selectUnlockedCells="0" sheet="1" objects="0" insertRows="1" insertHyperlinks="1" autoFilter="1" scenarios="0" formatColumns="1" deleteColumns="1" insertColumns="1" pivotTables="1" deleteRows="1" formatCells="1" formatRows="1" sort="1"/>
  <mergeCells count="7">
    <mergeCell ref="B3:D3"/>
    <mergeCell ref="B5:D5"/>
    <mergeCell ref="B67:D67"/>
    <mergeCell ref="B17:D17"/>
    <mergeCell ref="B13:D13"/>
    <mergeCell ref="B68:D68"/>
    <mergeCell ref="B2:D2"/>
  </mergeCells>
  <conditionalFormatting sqref="F25:L65">
    <cfRule type="expression" priority="1" dxfId="2">
      <formula>ISNA(F25)</formula>
    </cfRule>
  </conditionalFormatting>
  <dataValidations count="1">
    <dataValidation sqref="C9" showDropDown="0" showInputMessage="0" showErrorMessage="0" allowBlank="0" errorTitle="Ongeldige looptijd" error="Vul een aantal jaren tussen 0 en 40 in." type="whole" operator="between">
      <formula1>0</formula1>
      <formula2>40</formula2>
    </dataValidation>
  </dataValidations>
  <pageMargins left="0.75" right="0.75" top="1" bottom="1" header="0.5" footer="0.5"/>
  <pageSetup orientation="portrait"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Geldplanner</dc:creator>
  <dc:title>Geldplanner — persoonlijke financien</dc:title>
  <dc:description>Deze tool is uitsluitend bedoeld voor informatieve doeleinden en biedt geen financieel advies.</dc:description>
  <dc:subject>Cashflow, ZZP-belasting, pensioengat en vermogensgroei</dc:subject>
  <dc:language>nl-NL</dc:language>
  <dcterms:created xsi:type="dcterms:W3CDTF">2026-08-23T16:17:15Z</dcterms:created>
  <dcterms:modified xsi:type="dcterms:W3CDTF">2026-08-23T16:17:15Z</dcterms:modified>
</cp:coreProperties>
</file>