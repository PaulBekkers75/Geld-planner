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elblad" sheetId="1" state="visible" r:id="rId1"/>
    <sheet name="Dashboard" sheetId="2" state="visible" r:id="rId2"/>
    <sheet name="Instructies" sheetId="3" state="visible" r:id="rId3"/>
    <sheet name="Cashflow Overzicht" sheetId="4" state="visible" r:id="rId4"/>
    <sheet name="Pensioengat Calculator" sheetId="5" state="visible" r:id="rId5"/>
    <sheet name="Vermogensgroei" sheetId="6" state="visible" r:id="rId6"/>
  </sheets>
  <definedNames/>
  <calcPr calcId="124519" fullCalcOnLoad="1"/>
</workbook>
</file>

<file path=xl/styles.xml><?xml version="1.0" encoding="utf-8"?>
<styleSheet xmlns="http://schemas.openxmlformats.org/spreadsheetml/2006/main">
  <numFmts count="6">
    <numFmt numFmtId="164" formatCode="€ #,##0.00;[Red]-€ #,##0.00"/>
    <numFmt numFmtId="165" formatCode="0.0%"/>
    <numFmt numFmtId="166" formatCode="0.0 &quot;maanden&quot;"/>
    <numFmt numFmtId="167" formatCode="0 &quot;jaar&quot;"/>
    <numFmt numFmtId="168" formatCode="0.000%"/>
    <numFmt numFmtId="169" formatCode="€ #,##0;[Red]-€ #,##0"/>
  </numFmts>
  <fonts count="21">
    <font>
      <name val="Calibri"/>
      <family val="2"/>
      <color theme="1"/>
      <sz val="11"/>
      <scheme val="minor"/>
    </font>
    <font>
      <name val="Calibri"/>
      <b val="1"/>
      <color rgb="00FFFFFF"/>
      <sz val="18"/>
    </font>
    <font>
      <name val="Calibri"/>
      <i val="1"/>
      <color rgb="00FFFFFF"/>
      <sz val="10"/>
    </font>
    <font>
      <name val="Calibri"/>
      <b val="1"/>
      <color rgb="00FFFFFF"/>
      <sz val="11"/>
    </font>
    <font>
      <name val="Calibri"/>
      <sz val="11"/>
    </font>
    <font>
      <name val="Calibri"/>
      <i val="1"/>
      <color rgb="007F7F7F"/>
      <sz val="9"/>
    </font>
    <font>
      <name val="Calibri"/>
      <b val="1"/>
      <sz val="11"/>
    </font>
    <font>
      <name val="Calibri"/>
      <b val="1"/>
      <color rgb="00132A46"/>
      <sz val="13"/>
    </font>
    <font>
      <name val="Calibri"/>
      <b val="1"/>
      <color rgb="00132A46"/>
      <sz val="20"/>
    </font>
    <font>
      <name val="Calibri"/>
      <b val="1"/>
      <color rgb="00132A46"/>
      <sz val="11"/>
    </font>
    <font>
      <name val="Calibri"/>
      <b val="1"/>
      <color rgb="00132A46"/>
      <sz val="12"/>
    </font>
    <font>
      <name val="Calibri"/>
      <b val="1"/>
      <color rgb="00FFFFFF"/>
      <sz val="10"/>
    </font>
    <font>
      <name val="Calibri"/>
      <sz val="10"/>
    </font>
    <font>
      <name val="Calibri"/>
      <b val="1"/>
      <sz val="10"/>
    </font>
    <font>
      <name val="Calibri"/>
      <b val="1"/>
      <color rgb="00132A46"/>
      <sz val="26"/>
    </font>
    <font>
      <name val="Calibri"/>
      <i val="1"/>
      <color rgb="009AA5B1"/>
      <sz val="11"/>
    </font>
    <font>
      <name val="Calibri"/>
      <b val="1"/>
      <color rgb="00132A46"/>
      <sz val="40"/>
    </font>
    <font>
      <name val="Calibri"/>
      <i val="1"/>
      <color rgb="008C6D0F"/>
      <sz val="13"/>
    </font>
    <font>
      <name val="Calibri"/>
      <color rgb="00404040"/>
      <sz val="11"/>
    </font>
    <font>
      <name val="Calibri"/>
      <b val="1"/>
      <color rgb="008C6D0F"/>
      <sz val="11"/>
    </font>
    <font>
      <name val="Calibri"/>
      <b val="1"/>
      <color rgb="009C0006"/>
      <sz val="11"/>
    </font>
  </fonts>
  <fills count="12">
    <fill>
      <patternFill/>
    </fill>
    <fill>
      <patternFill patternType="gray125"/>
    </fill>
    <fill>
      <patternFill patternType="solid">
        <fgColor rgb="00132A46"/>
      </patternFill>
    </fill>
    <fill>
      <patternFill patternType="solid">
        <fgColor rgb="002E5C8A"/>
      </patternFill>
    </fill>
    <fill>
      <patternFill patternType="solid">
        <fgColor rgb="00FFF2CC"/>
      </patternFill>
    </fill>
    <fill>
      <patternFill patternType="solid">
        <fgColor rgb="00EDEDED"/>
      </patternFill>
    </fill>
    <fill>
      <patternFill patternType="solid">
        <fgColor rgb="00F3F5FA"/>
      </patternFill>
    </fill>
    <fill>
      <patternFill patternType="solid">
        <fgColor rgb="00F7EFD9"/>
      </patternFill>
    </fill>
    <fill>
      <patternFill patternType="solid">
        <fgColor rgb="00C9A227"/>
      </patternFill>
    </fill>
    <fill>
      <patternFill patternType="solid">
        <fgColor rgb="00D9E2F3"/>
      </patternFill>
    </fill>
    <fill>
      <patternFill patternType="solid">
        <fgColor rgb="00F5F6F8"/>
      </patternFill>
    </fill>
    <fill>
      <patternFill patternType="solid">
        <fgColor rgb="00FCE4E4"/>
      </patternFill>
    </fill>
  </fills>
  <borders count="38">
    <border>
      <left/>
      <right/>
      <top/>
      <bottom/>
      <diagonal/>
    </border>
    <border>
      <left style="thin">
        <color rgb="00BF8F00"/>
      </left>
      <right style="thin">
        <color rgb="00BF8F00"/>
      </right>
      <top style="thin">
        <color rgb="00BF8F00"/>
      </top>
      <bottom style="thin">
        <color rgb="00BF8F00"/>
      </bottom>
    </border>
    <border>
      <left style="thin">
        <color rgb="00BFBFBF"/>
      </left>
      <right style="thin">
        <color rgb="00BFBFBF"/>
      </right>
      <top style="thin">
        <color rgb="00BFBFBF"/>
      </top>
      <bottom style="thin">
        <color rgb="00BFBFBF"/>
      </bottom>
    </border>
    <border>
      <left style="thin">
        <color rgb="00C9D2E3"/>
      </left>
      <right/>
      <top style="thin">
        <color rgb="00C9D2E3"/>
      </top>
      <bottom/>
    </border>
    <border>
      <left style="thin">
        <color rgb="00BF8F00"/>
      </left>
      <right style="thin">
        <color rgb="00BF8F00"/>
      </right>
      <top style="thin">
        <color rgb="00C9D2E3"/>
      </top>
      <bottom style="thin">
        <color rgb="00BF8F00"/>
      </bottom>
    </border>
    <border>
      <left/>
      <right style="thin">
        <color rgb="00C9D2E3"/>
      </right>
      <top style="thin">
        <color rgb="00C9D2E3"/>
      </top>
      <bottom/>
    </border>
    <border>
      <left style="thin">
        <color rgb="00C9D2E3"/>
      </left>
      <right/>
      <top/>
      <bottom/>
    </border>
    <border>
      <left/>
      <right style="thin">
        <color rgb="00C9D2E3"/>
      </right>
      <top/>
      <bottom/>
    </border>
    <border>
      <left style="thin">
        <color rgb="00C9D2E3"/>
      </left>
      <right/>
      <top/>
      <bottom style="thin">
        <color rgb="00C9D2E3"/>
      </bottom>
    </border>
    <border>
      <left style="thin">
        <color rgb="00BFBFBF"/>
      </left>
      <right style="thin">
        <color rgb="00BFBFBF"/>
      </right>
      <top style="thin">
        <color rgb="00BFBFBF"/>
      </top>
      <bottom style="thin">
        <color rgb="00C9D2E3"/>
      </bottom>
    </border>
    <border>
      <left/>
      <right style="thin">
        <color rgb="00C9D2E3"/>
      </right>
      <top/>
      <bottom style="thin">
        <color rgb="00C9D2E3"/>
      </bottom>
    </border>
    <border>
      <left style="thin">
        <color rgb="008C6D0F"/>
      </left>
      <right style="thin">
        <color rgb="008C6D0F"/>
      </right>
      <top style="thin">
        <color rgb="008C6D0F"/>
      </top>
      <bottom style="thin">
        <color rgb="008C6D0F"/>
      </bottom>
    </border>
    <border>
      <left style="thin">
        <color rgb="00BFBFBF"/>
      </left>
      <right style="thin">
        <color rgb="00BFBFBF"/>
      </right>
      <top style="thin">
        <color rgb="00C9D2E3"/>
      </top>
      <bottom style="thin">
        <color rgb="00BFBFBF"/>
      </bottom>
    </border>
    <border>
      <left/>
      <right/>
      <top/>
      <bottom style="thin">
        <color rgb="00C9D2E3"/>
      </bottom>
    </border>
    <border>
      <left style="thin">
        <color rgb="00BF8F00"/>
      </left>
      <right style="thin">
        <color rgb="00BF8F00"/>
      </right>
      <top style="thin">
        <color rgb="00BF8F00"/>
      </top>
      <bottom style="thin">
        <color rgb="00C9D2E3"/>
      </bottom>
    </border>
    <border>
      <left style="thin">
        <color rgb="002E5C8A"/>
      </left>
      <right style="thin">
        <color rgb="002E5C8A"/>
      </right>
      <top style="thin">
        <color rgb="002E5C8A"/>
      </top>
      <bottom style="thin">
        <color rgb="002E5C8A"/>
      </bottom>
    </border>
    <border>
      <left style="thin">
        <color rgb="002E5C8A"/>
      </left>
      <right style="thin">
        <color rgb="002E5C8A"/>
      </right>
      <top style="thin">
        <color rgb="002E5C8A"/>
      </top>
      <bottom style="thin">
        <color rgb="00C9D2E3"/>
      </bottom>
    </border>
    <border>
      <left style="thin">
        <color rgb="008C6D0F"/>
      </left>
      <right style="thin">
        <color rgb="008C6D0F"/>
      </right>
      <top style="thin">
        <color rgb="008C6D0F"/>
      </top>
      <bottom style="thin">
        <color rgb="00C9D2E3"/>
      </bottom>
    </border>
    <border>
      <left style="thin">
        <color rgb="008C6D0F"/>
      </left>
      <right style="thin">
        <color rgb="008C6D0F"/>
      </right>
      <top style="thin">
        <color rgb="00C9D2E3"/>
      </top>
      <bottom style="thin">
        <color rgb="008C6D0F"/>
      </bottom>
    </border>
    <border>
      <left style="medium">
        <color rgb="00C9A227"/>
      </left>
      <right/>
      <top style="medium">
        <color rgb="00C9A227"/>
      </top>
      <bottom/>
    </border>
    <border>
      <left/>
      <right style="medium">
        <color rgb="00C9A227"/>
      </right>
      <top style="medium">
        <color rgb="00C9A227"/>
      </top>
      <bottom/>
    </border>
    <border>
      <left style="medium">
        <color rgb="00C9A227"/>
      </left>
      <right/>
      <top/>
      <bottom/>
    </border>
    <border>
      <left/>
      <right style="medium">
        <color rgb="00C9A227"/>
      </right>
      <top/>
      <bottom/>
    </border>
    <border>
      <left style="medium">
        <color rgb="00C9A227"/>
      </left>
      <right/>
      <top/>
      <bottom style="medium">
        <color rgb="00C9A227"/>
      </bottom>
    </border>
    <border>
      <left/>
      <right style="medium">
        <color rgb="00C9A227"/>
      </right>
      <top/>
      <bottom style="medium">
        <color rgb="00C9A227"/>
      </bottom>
    </border>
    <border>
      <left style="dashed">
        <color rgb="00B7C0CC"/>
      </left>
      <top style="dashed">
        <color rgb="00B7C0CC"/>
      </top>
    </border>
    <border>
      <top style="dashed">
        <color rgb="00B7C0CC"/>
      </top>
    </border>
    <border>
      <right style="dashed">
        <color rgb="00B7C0CC"/>
      </right>
      <top style="dashed">
        <color rgb="00B7C0CC"/>
      </top>
    </border>
    <border>
      <left style="dashed">
        <color rgb="00B7C0CC"/>
      </left>
    </border>
    <border/>
    <border>
      <right style="dashed">
        <color rgb="00B7C0CC"/>
      </right>
    </border>
    <border>
      <left style="dashed">
        <color rgb="00B7C0CC"/>
      </left>
      <bottom style="dashed">
        <color rgb="00B7C0CC"/>
      </bottom>
    </border>
    <border>
      <bottom style="dashed">
        <color rgb="00B7C0CC"/>
      </bottom>
    </border>
    <border>
      <right style="dashed">
        <color rgb="00B7C0CC"/>
      </right>
      <bottom style="dashed">
        <color rgb="00B7C0CC"/>
      </bottom>
    </border>
    <border>
      <left style="medium">
        <color rgb="00C9A227"/>
      </left>
      <right/>
      <top style="medium">
        <color rgb="00C9A227"/>
      </top>
      <bottom style="medium">
        <color rgb="00C9A227"/>
      </bottom>
    </border>
    <border>
      <left/>
      <right/>
      <top style="medium">
        <color rgb="00C9A227"/>
      </top>
      <bottom style="medium">
        <color rgb="00C9A227"/>
      </bottom>
    </border>
    <border>
      <left/>
      <right style="medium">
        <color rgb="00C9A227"/>
      </right>
      <top style="medium">
        <color rgb="00C9A227"/>
      </top>
      <bottom style="medium">
        <color rgb="00C9A227"/>
      </bottom>
    </border>
    <border>
      <left style="medium">
        <color rgb="00C00000"/>
      </left>
      <right style="medium">
        <color rgb="00C00000"/>
      </right>
      <top style="medium">
        <color rgb="00C00000"/>
      </top>
      <bottom style="medium">
        <color rgb="00C00000"/>
      </bottom>
    </border>
  </borders>
  <cellStyleXfs count="1">
    <xf numFmtId="0" fontId="0" fillId="0" borderId="0"/>
  </cellStyleXfs>
  <cellXfs count="97">
    <xf numFmtId="0" fontId="0" fillId="0" borderId="0" pivotButton="0" quotePrefix="0" xfId="0"/>
    <xf numFmtId="0" fontId="0" fillId="2" borderId="0" pivotButton="0" quotePrefix="0" xfId="0"/>
    <xf numFmtId="0" fontId="15" fillId="10" borderId="25" applyAlignment="1" pivotButton="0" quotePrefix="0" xfId="0">
      <alignment horizontal="center" vertical="center" wrapText="1"/>
    </xf>
    <xf numFmtId="0" fontId="0" fillId="10" borderId="26" pivotButton="0" quotePrefix="0" xfId="0"/>
    <xf numFmtId="0" fontId="0" fillId="10" borderId="27" pivotButton="0" quotePrefix="0" xfId="0"/>
    <xf numFmtId="0" fontId="0" fillId="10" borderId="28" pivotButton="0" quotePrefix="0" xfId="0"/>
    <xf numFmtId="0" fontId="0" fillId="10" borderId="29" pivotButton="0" quotePrefix="0" xfId="0"/>
    <xf numFmtId="0" fontId="0" fillId="10" borderId="30" pivotButton="0" quotePrefix="0" xfId="0"/>
    <xf numFmtId="0" fontId="0" fillId="10" borderId="31" pivotButton="0" quotePrefix="0" xfId="0"/>
    <xf numFmtId="0" fontId="0" fillId="10" borderId="32" pivotButton="0" quotePrefix="0" xfId="0"/>
    <xf numFmtId="0" fontId="0" fillId="10" borderId="33" pivotButton="0" quotePrefix="0" xfId="0"/>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0" fillId="8" borderId="0" pivotButton="0" quotePrefix="0" xfId="0"/>
    <xf numFmtId="0" fontId="18" fillId="0" borderId="0" applyAlignment="1" pivotButton="0" quotePrefix="0" xfId="0">
      <alignment horizontal="center" vertical="top" wrapText="1"/>
    </xf>
    <xf numFmtId="0" fontId="19" fillId="0" borderId="0" applyAlignment="1" pivotButton="0" quotePrefix="0" xfId="0">
      <alignment horizontal="center" vertical="center"/>
    </xf>
    <xf numFmtId="0" fontId="18" fillId="0" borderId="0" applyAlignment="1" pivotButton="0" quotePrefix="0" xfId="0">
      <alignment horizontal="left" vertical="center" indent="1"/>
    </xf>
    <xf numFmtId="0" fontId="10" fillId="7" borderId="34" applyAlignment="1" pivotButton="0" quotePrefix="0" xfId="0">
      <alignment horizontal="center" vertical="center"/>
    </xf>
    <xf numFmtId="0" fontId="0" fillId="0" borderId="35" pivotButton="0" quotePrefix="0" xfId="0"/>
    <xf numFmtId="0" fontId="0" fillId="0" borderId="36" pivotButton="0" quotePrefix="0" xfId="0"/>
    <xf numFmtId="0" fontId="5" fillId="0" borderId="0" applyAlignment="1" pivotButton="0" quotePrefix="0" xfId="0">
      <alignment horizontal="center" vertical="center" wrapText="1"/>
    </xf>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11" fillId="2" borderId="19" applyAlignment="1" pivotButton="0" quotePrefix="0" xfId="0">
      <alignment horizontal="center" vertical="center"/>
    </xf>
    <xf numFmtId="0" fontId="0" fillId="2" borderId="20" pivotButton="0" quotePrefix="0" xfId="0"/>
    <xf numFmtId="169" fontId="14" fillId="6" borderId="21" applyAlignment="1" pivotButton="0" quotePrefix="0" xfId="0">
      <alignment horizontal="center" vertical="center"/>
    </xf>
    <xf numFmtId="0" fontId="0" fillId="6" borderId="22" pivotButton="0" quotePrefix="0" xfId="0"/>
    <xf numFmtId="165" fontId="14" fillId="6" borderId="21" applyAlignment="1" pivotButton="0" quotePrefix="0" xfId="0">
      <alignment horizontal="center" vertical="center"/>
    </xf>
    <xf numFmtId="0" fontId="0" fillId="6" borderId="21" pivotButton="0" quotePrefix="0" xfId="0"/>
    <xf numFmtId="0" fontId="9" fillId="6" borderId="23" applyAlignment="1" pivotButton="0" quotePrefix="0" xfId="0">
      <alignment horizontal="center" vertical="center"/>
    </xf>
    <xf numFmtId="0" fontId="0" fillId="6" borderId="24" pivotButton="0" quotePrefix="0" xfId="0"/>
    <xf numFmtId="0" fontId="3" fillId="3" borderId="0" applyAlignment="1" pivotButton="0" quotePrefix="0" xfId="0">
      <alignment horizontal="left" vertical="center" indent="1"/>
    </xf>
    <xf numFmtId="0" fontId="0" fillId="3" borderId="0" pivotButton="0" quotePrefix="0" xfId="0"/>
    <xf numFmtId="0" fontId="5" fillId="0" borderId="0" applyAlignment="1" pivotButton="0" quotePrefix="0" xfId="0">
      <alignment vertical="center" indent="1"/>
    </xf>
    <xf numFmtId="0" fontId="9" fillId="0" borderId="0" applyAlignment="1" pivotButton="0" quotePrefix="0" xfId="0">
      <alignment vertical="center" indent="1"/>
    </xf>
    <xf numFmtId="0" fontId="9" fillId="9" borderId="15" applyAlignment="1" pivotButton="0" quotePrefix="0" xfId="0">
      <alignment vertical="center" indent="1"/>
    </xf>
    <xf numFmtId="0" fontId="6" fillId="0" borderId="2" applyAlignment="1" pivotButton="0" quotePrefix="0" xfId="0">
      <alignment vertical="top" indent="1"/>
    </xf>
    <xf numFmtId="0" fontId="4" fillId="0" borderId="2" applyAlignment="1" pivotButton="0" quotePrefix="0" xfId="0">
      <alignment vertical="top" wrapText="1" indent="1"/>
    </xf>
    <xf numFmtId="0" fontId="6" fillId="4" borderId="1" applyAlignment="1" pivotButton="0" quotePrefix="0" xfId="0">
      <alignment vertical="center" indent="1"/>
    </xf>
    <xf numFmtId="0" fontId="4" fillId="0" borderId="0" applyAlignment="1" pivotButton="0" quotePrefix="0" xfId="0">
      <alignment vertical="center" indent="1"/>
    </xf>
    <xf numFmtId="0" fontId="6" fillId="5" borderId="2" applyAlignment="1" pivotButton="0" quotePrefix="0" xfId="0">
      <alignment vertical="center" indent="1"/>
    </xf>
    <xf numFmtId="0" fontId="6" fillId="9" borderId="15" applyAlignment="1" pivotButton="0" quotePrefix="0" xfId="0">
      <alignment vertical="center" indent="1"/>
    </xf>
    <xf numFmtId="0" fontId="6" fillId="7" borderId="11" applyAlignment="1" pivotButton="0" quotePrefix="0" xfId="0">
      <alignment vertical="center" indent="1"/>
    </xf>
    <xf numFmtId="0" fontId="4" fillId="0" borderId="0" applyAlignment="1" pivotButton="0" quotePrefix="0" xfId="0">
      <alignment vertical="center" wrapText="1" indent="1"/>
    </xf>
    <xf numFmtId="0" fontId="20" fillId="11" borderId="37" applyAlignment="1" pivotButton="0" quotePrefix="0" xfId="0">
      <alignment vertical="top" wrapText="1" indent="1"/>
    </xf>
    <xf numFmtId="0" fontId="4" fillId="6" borderId="3" applyAlignment="1" pivotButton="0" quotePrefix="0" xfId="0">
      <alignment vertical="center" indent="1"/>
    </xf>
    <xf numFmtId="164" fontId="4" fillId="4" borderId="4" applyAlignment="1" applyProtection="1" pivotButton="0" quotePrefix="0" xfId="0">
      <alignment horizontal="right" vertical="center" indent="1"/>
      <protection locked="0" hidden="0"/>
    </xf>
    <xf numFmtId="0" fontId="5" fillId="6" borderId="5" applyAlignment="1" pivotButton="0" quotePrefix="0" xfId="0">
      <alignment vertical="center" wrapText="1" indent="1"/>
    </xf>
    <xf numFmtId="0" fontId="4" fillId="6" borderId="6" applyAlignment="1" pivotButton="0" quotePrefix="0" xfId="0">
      <alignment vertical="center" indent="1"/>
    </xf>
    <xf numFmtId="164" fontId="4" fillId="4" borderId="1" applyAlignment="1" applyProtection="1" pivotButton="0" quotePrefix="0" xfId="0">
      <alignment horizontal="right" vertical="center" indent="1"/>
      <protection locked="0" hidden="0"/>
    </xf>
    <xf numFmtId="0" fontId="5" fillId="6" borderId="7" applyAlignment="1" pivotButton="0" quotePrefix="0" xfId="0">
      <alignment vertical="center" wrapText="1" indent="1"/>
    </xf>
    <xf numFmtId="0" fontId="0" fillId="6" borderId="7" pivotButton="0" quotePrefix="0" xfId="0"/>
    <xf numFmtId="0" fontId="6" fillId="6" borderId="8" applyAlignment="1" pivotButton="0" quotePrefix="0" xfId="0">
      <alignment vertical="center" wrapText="1" indent="1"/>
    </xf>
    <xf numFmtId="164" fontId="6" fillId="5" borderId="9" applyAlignment="1" pivotButton="0" quotePrefix="0" xfId="0">
      <alignment horizontal="right" vertical="center" indent="1"/>
    </xf>
    <xf numFmtId="0" fontId="0" fillId="6" borderId="10" pivotButton="0" quotePrefix="0" xfId="0"/>
    <xf numFmtId="0" fontId="0" fillId="6" borderId="5" pivotButton="0" quotePrefix="0" xfId="0"/>
    <xf numFmtId="0" fontId="6" fillId="6" borderId="3" applyAlignment="1" pivotButton="0" quotePrefix="0" xfId="0">
      <alignment vertical="center" wrapText="1" indent="1"/>
    </xf>
    <xf numFmtId="164" fontId="6" fillId="5" borderId="12" applyAlignment="1" pivotButton="0" quotePrefix="0" xfId="0">
      <alignment horizontal="right" vertical="center" indent="1"/>
    </xf>
    <xf numFmtId="0" fontId="6" fillId="6" borderId="6" applyAlignment="1" pivotButton="0" quotePrefix="0" xfId="0">
      <alignment vertical="center" wrapText="1" indent="1"/>
    </xf>
    <xf numFmtId="164" fontId="6" fillId="5" borderId="2" applyAlignment="1" pivotButton="0" quotePrefix="0" xfId="0">
      <alignment horizontal="right" vertical="center" indent="1"/>
    </xf>
    <xf numFmtId="0" fontId="7" fillId="6" borderId="6" applyAlignment="1" pivotButton="0" quotePrefix="0" xfId="0">
      <alignment vertical="center" wrapText="1" indent="1"/>
    </xf>
    <xf numFmtId="164" fontId="8" fillId="7" borderId="11" applyAlignment="1" pivotButton="0" quotePrefix="0" xfId="0">
      <alignment horizontal="right" vertical="center" indent="1"/>
    </xf>
    <xf numFmtId="165" fontId="6" fillId="5" borderId="2" applyAlignment="1" pivotButton="0" quotePrefix="0" xfId="0">
      <alignment horizontal="right" vertical="center" indent="1"/>
    </xf>
    <xf numFmtId="166" fontId="6" fillId="5" borderId="2" applyAlignment="1" pivotButton="0" quotePrefix="0" xfId="0">
      <alignment horizontal="right" vertical="center" indent="1"/>
    </xf>
    <xf numFmtId="0" fontId="0" fillId="6" borderId="6" pivotButton="0" quotePrefix="0" xfId="0"/>
    <xf numFmtId="0" fontId="0" fillId="6" borderId="8" pivotButton="0" quotePrefix="0" xfId="0"/>
    <xf numFmtId="0" fontId="0" fillId="0" borderId="13" pivotButton="0" quotePrefix="0" xfId="0"/>
    <xf numFmtId="0" fontId="9" fillId="0" borderId="0" pivotButton="0" quotePrefix="0" xfId="0"/>
    <xf numFmtId="164" fontId="4" fillId="5" borderId="2" applyAlignment="1" pivotButton="0" quotePrefix="0" xfId="0">
      <alignment horizontal="right" vertical="center" indent="1"/>
    </xf>
    <xf numFmtId="167" fontId="4" fillId="4" borderId="4" applyAlignment="1" applyProtection="1" pivotButton="0" quotePrefix="0" xfId="0">
      <alignment horizontal="right" vertical="center" indent="1"/>
      <protection locked="0" hidden="0"/>
    </xf>
    <xf numFmtId="167" fontId="4" fillId="4" borderId="1" applyAlignment="1" applyProtection="1" pivotButton="0" quotePrefix="0" xfId="0">
      <alignment horizontal="right" vertical="center" indent="1"/>
      <protection locked="0" hidden="0"/>
    </xf>
    <xf numFmtId="0" fontId="4" fillId="6" borderId="8" applyAlignment="1" pivotButton="0" quotePrefix="0" xfId="0">
      <alignment vertical="center" indent="1"/>
    </xf>
    <xf numFmtId="164" fontId="4" fillId="4" borderId="14" applyAlignment="1" applyProtection="1" pivotButton="0" quotePrefix="0" xfId="0">
      <alignment horizontal="right" vertical="center" indent="1"/>
      <protection locked="0" hidden="0"/>
    </xf>
    <xf numFmtId="0" fontId="5" fillId="6" borderId="10" applyAlignment="1" pivotButton="0" quotePrefix="0" xfId="0">
      <alignment vertical="center" wrapText="1" indent="1"/>
    </xf>
    <xf numFmtId="0" fontId="9" fillId="8" borderId="0" applyAlignment="1" pivotButton="0" quotePrefix="0" xfId="0">
      <alignment horizontal="left" vertical="center" indent="1"/>
    </xf>
    <xf numFmtId="0" fontId="4" fillId="4" borderId="1" applyAlignment="1" applyProtection="1" pivotButton="0" quotePrefix="0" xfId="0">
      <alignment horizontal="right" vertical="center" indent="1"/>
      <protection locked="0" hidden="0"/>
    </xf>
    <xf numFmtId="0" fontId="10" fillId="6" borderId="8" applyAlignment="1" pivotButton="0" quotePrefix="0" xfId="0">
      <alignment vertical="center" wrapText="1" indent="1"/>
    </xf>
    <xf numFmtId="164" fontId="10" fillId="9" borderId="16" applyAlignment="1" pivotButton="0" quotePrefix="0" xfId="0">
      <alignment horizontal="right" vertical="center" indent="1"/>
    </xf>
    <xf numFmtId="165" fontId="4" fillId="4" borderId="4" applyAlignment="1" applyProtection="1" pivotButton="0" quotePrefix="0" xfId="0">
      <alignment horizontal="right" vertical="center" indent="1"/>
      <protection locked="0" hidden="0"/>
    </xf>
    <xf numFmtId="165" fontId="4" fillId="4" borderId="1" applyAlignment="1" applyProtection="1" pivotButton="0" quotePrefix="0" xfId="0">
      <alignment horizontal="right" vertical="center" indent="1"/>
      <protection locked="0" hidden="0"/>
    </xf>
    <xf numFmtId="167" fontId="4" fillId="4" borderId="14" applyAlignment="1" applyProtection="1" pivotButton="0" quotePrefix="0" xfId="0">
      <alignment horizontal="right" vertical="center" indent="1"/>
      <protection locked="0" hidden="0"/>
    </xf>
    <xf numFmtId="167" fontId="6" fillId="5" borderId="12" applyAlignment="1" pivotButton="0" quotePrefix="0" xfId="0">
      <alignment horizontal="right" vertical="center" indent="1"/>
    </xf>
    <xf numFmtId="10" fontId="6" fillId="5" borderId="2" applyAlignment="1" pivotButton="0" quotePrefix="0" xfId="0">
      <alignment horizontal="right" vertical="center" indent="1"/>
    </xf>
    <xf numFmtId="0" fontId="10" fillId="6" borderId="6" applyAlignment="1" pivotButton="0" quotePrefix="0" xfId="0">
      <alignment vertical="center" wrapText="1" indent="1"/>
    </xf>
    <xf numFmtId="164" fontId="10" fillId="9" borderId="15" applyAlignment="1" pivotButton="0" quotePrefix="0" xfId="0">
      <alignment horizontal="right" vertical="center" indent="1"/>
    </xf>
    <xf numFmtId="0" fontId="7" fillId="6" borderId="8" applyAlignment="1" pivotButton="0" quotePrefix="0" xfId="0">
      <alignment vertical="center" wrapText="1" indent="1"/>
    </xf>
    <xf numFmtId="164" fontId="8" fillId="7" borderId="17" applyAlignment="1" pivotButton="0" quotePrefix="0" xfId="0">
      <alignment horizontal="right" vertical="center" indent="1"/>
    </xf>
    <xf numFmtId="168" fontId="6" fillId="5" borderId="12" applyAlignment="1" pivotButton="0" quotePrefix="0" xfId="0">
      <alignment horizontal="right" vertical="center" indent="1"/>
    </xf>
    <xf numFmtId="165" fontId="6" fillId="5" borderId="9" applyAlignment="1" pivotButton="0" quotePrefix="0" xfId="0">
      <alignment horizontal="right" vertical="center" indent="1"/>
    </xf>
    <xf numFmtId="10" fontId="4" fillId="4" borderId="14" applyAlignment="1" applyProtection="1" pivotButton="0" quotePrefix="0" xfId="0">
      <alignment horizontal="right" vertical="center" indent="1"/>
      <protection locked="0" hidden="0"/>
    </xf>
    <xf numFmtId="10" fontId="6" fillId="5" borderId="12" applyAlignment="1" pivotButton="0" quotePrefix="0" xfId="0">
      <alignment horizontal="right" vertical="center" indent="1"/>
    </xf>
    <xf numFmtId="168" fontId="6" fillId="5" borderId="9" applyAlignment="1" pivotButton="0" quotePrefix="0" xfId="0">
      <alignment horizontal="right" vertical="center" indent="1"/>
    </xf>
    <xf numFmtId="0" fontId="7" fillId="6" borderId="3" applyAlignment="1" pivotButton="0" quotePrefix="0" xfId="0">
      <alignment vertical="center" wrapText="1" indent="1"/>
    </xf>
    <xf numFmtId="164" fontId="8" fillId="7" borderId="18" applyAlignment="1" pivotButton="0" quotePrefix="0" xfId="0">
      <alignment horizontal="right" vertical="center" indent="1"/>
    </xf>
    <xf numFmtId="0" fontId="11" fillId="3" borderId="15" applyAlignment="1" pivotButton="0" quotePrefix="0" xfId="0">
      <alignment horizontal="center" vertical="center" wrapText="1"/>
    </xf>
    <xf numFmtId="1" fontId="13" fillId="5" borderId="2" applyAlignment="1" pivotButton="0" quotePrefix="0" xfId="0">
      <alignment horizontal="center" vertical="center"/>
    </xf>
    <xf numFmtId="169" fontId="12" fillId="5" borderId="2" applyAlignment="1" pivotButton="0" quotePrefix="0" xfId="0">
      <alignment horizontal="right" vertical="center" indent="1"/>
    </xf>
  </cellXfs>
  <cellStyles count="1">
    <cellStyle name="Normal" xfId="0" builtinId="0" hidden="0"/>
  </cellStyles>
  <dxfs count="8">
    <dxf>
      <font>
        <name val="Calibri"/>
        <b val="1"/>
        <color rgb="009C0006"/>
        <sz val="26"/>
      </font>
    </dxf>
    <dxf>
      <font>
        <name val="Calibri"/>
        <b val="1"/>
        <color rgb="001E7145"/>
        <sz val="11"/>
      </font>
      <fill>
        <patternFill patternType="solid">
          <fgColor rgb="00E5F3E8"/>
        </patternFill>
      </fill>
    </dxf>
    <dxf>
      <font>
        <name val="Calibri"/>
        <b val="1"/>
        <color rgb="009C0006"/>
        <sz val="11"/>
      </font>
      <fill>
        <patternFill patternType="solid">
          <fgColor rgb="00FCE4E4"/>
        </patternFill>
      </fill>
    </dxf>
    <dxf>
      <font>
        <name val="Calibri"/>
        <b val="1"/>
        <color rgb="00B15C00"/>
        <sz val="11"/>
      </font>
      <fill>
        <patternFill patternType="solid">
          <fgColor rgb="00FDECD2"/>
        </patternFill>
      </fill>
    </dxf>
    <dxf>
      <font>
        <name val="Calibri"/>
        <b val="1"/>
        <color rgb="009C0006"/>
        <sz val="20"/>
      </font>
      <fill>
        <patternFill patternType="solid">
          <fgColor rgb="00FCE4E4"/>
        </patternFill>
      </fill>
    </dxf>
    <dxf>
      <font>
        <name val="Calibri"/>
        <b val="1"/>
        <color rgb="001E7145"/>
        <sz val="20"/>
      </font>
      <fill>
        <patternFill patternType="solid">
          <fgColor rgb="00E5F3E8"/>
        </patternFill>
      </fill>
    </dxf>
    <dxf>
      <font>
        <name val="Calibri"/>
        <b val="1"/>
        <color rgb="00B15C00"/>
        <sz val="20"/>
      </font>
      <fill>
        <patternFill patternType="solid">
          <fgColor rgb="00FDECD2"/>
        </patternFill>
      </fill>
    </dxf>
    <dxf>
      <font>
        <name val="Calibri"/>
        <color rgb="00FFFFFF"/>
        <sz val="10"/>
      </font>
      <fill>
        <patternFill patternType="solid">
          <f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Inkomsten vs. uitgaven per maand</a:t>
            </a:r>
          </a:p>
        </rich>
      </tx>
    </title>
    <plotArea>
      <barChart>
        <barDir val="col"/>
        <grouping val="clustered"/>
        <ser>
          <idx val="0"/>
          <order val="0"/>
          <tx>
            <strRef>
              <f>'Cashflow Overzicht'!C49</f>
            </strRef>
          </tx>
          <spPr>
            <a:ln>
              <a:prstDash val="solid"/>
            </a:ln>
          </spPr>
          <cat>
            <numRef>
              <f>'Cashflow Overzicht'!$B$50:$B$53</f>
            </numRef>
          </cat>
          <val>
            <numRef>
              <f>'Cashflow Overzicht'!$C$50:$C$53</f>
            </numRef>
          </val>
        </ser>
        <dLbls>
          <showVal val="1"/>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Bedrag per maand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Groei van je vermogen</a:t>
            </a:r>
          </a:p>
        </rich>
      </tx>
    </title>
    <plotArea>
      <lineChart>
        <grouping val="standard"/>
        <ser>
          <idx val="0"/>
          <order val="0"/>
          <tx>
            <strRef>
              <f>'Vermogensgroei'!J29</f>
            </strRef>
          </tx>
          <spPr>
            <a:ln>
              <a:prstDash val="solid"/>
            </a:ln>
          </spPr>
          <marker>
            <symbol val="none"/>
            <spPr>
              <a:ln>
                <a:prstDash val="solid"/>
              </a:ln>
            </spPr>
          </marker>
          <cat>
            <numRef>
              <f>'Vermogensgroei'!$F$30:$F$70</f>
            </numRef>
          </cat>
          <val>
            <numRef>
              <f>'Vermogensgroei'!$J$30:$J$70</f>
            </numRef>
          </val>
          <smooth val="0"/>
        </ser>
        <ser>
          <idx val="1"/>
          <order val="1"/>
          <tx>
            <strRef>
              <f>'Vermogensgroei'!K29</f>
            </strRef>
          </tx>
          <spPr>
            <a:ln>
              <a:prstDash val="solid"/>
            </a:ln>
          </spPr>
          <marker>
            <symbol val="none"/>
            <spPr>
              <a:ln>
                <a:prstDash val="solid"/>
              </a:ln>
            </spPr>
          </marker>
          <cat>
            <numRef>
              <f>'Vermogensgroei'!$F$30:$F$70</f>
            </numRef>
          </cat>
          <val>
            <numRef>
              <f>'Vermogensgroei'!$K$30:$K$70</f>
            </numRef>
          </val>
          <smooth val="0"/>
        </ser>
        <ser>
          <idx val="2"/>
          <order val="2"/>
          <tx>
            <strRef>
              <f>'Vermogensgroei'!L29</f>
            </strRef>
          </tx>
          <spPr>
            <a:ln>
              <a:prstDash val="solid"/>
            </a:ln>
          </spPr>
          <marker>
            <symbol val="none"/>
            <spPr>
              <a:ln>
                <a:prstDash val="solid"/>
              </a:ln>
            </spPr>
          </marker>
          <cat>
            <numRef>
              <f>'Vermogensgroei'!$F$30:$F$70</f>
            </numRef>
          </cat>
          <val>
            <numRef>
              <f>'Vermogensgroei'!$L$30:$L$70</f>
            </numRef>
          </val>
          <smooth val="0"/>
        </ser>
        <axId val="10"/>
        <axId val="100"/>
      </lineChart>
      <catAx>
        <axId val="10"/>
        <scaling>
          <orientation val="minMax"/>
        </scaling>
        <axPos val="l"/>
        <title>
          <tx>
            <rich>
              <a:bodyPr/>
              <a:p>
                <a:pPr>
                  <a:defRPr/>
                </a:pPr>
                <a:r>
                  <a:t>Jaren</a:t>
                </a:r>
              </a:p>
            </rich>
          </tx>
        </title>
        <majorTickMark val="none"/>
        <minorTickMark val="none"/>
        <crossAx val="100"/>
        <lblOffset val="100"/>
      </catAx>
      <valAx>
        <axId val="100"/>
        <scaling>
          <orientation val="minMax"/>
        </scaling>
        <axPos val="l"/>
        <majorGridlines/>
        <title>
          <tx>
            <rich>
              <a:bodyPr/>
              <a:p>
                <a:pPr>
                  <a:defRPr/>
                </a:pPr>
                <a:r>
                  <a:t>Waarde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28</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32A46"/>
    <outlinePr summaryBelow="1" summaryRight="1"/>
    <pageSetUpPr fitToPage="1"/>
  </sheetPr>
  <dimension ref="A1:H31"/>
  <sheetViews>
    <sheetView showGridLines="0" workbookViewId="0">
      <selection activeCell="A1" sqref="A1"/>
    </sheetView>
  </sheetViews>
  <sheetFormatPr baseColWidth="8" defaultRowHeight="15"/>
  <cols>
    <col width="3" customWidth="1" min="1" max="1"/>
    <col width="8" customWidth="1" min="2" max="2"/>
    <col width="16" customWidth="1" min="3" max="3"/>
    <col width="16" customWidth="1" min="4" max="4"/>
    <col width="16" customWidth="1" min="5" max="5"/>
    <col width="16" customWidth="1" min="6" max="6"/>
    <col width="8" customWidth="1" min="7" max="7"/>
    <col width="3" customWidth="1" min="8" max="8"/>
  </cols>
  <sheetData>
    <row r="1" ht="8" customHeight="1">
      <c r="A1" s="1" t="n"/>
      <c r="B1" s="1" t="n"/>
      <c r="C1" s="1" t="n"/>
      <c r="D1" s="1" t="n"/>
      <c r="E1" s="1" t="n"/>
      <c r="F1" s="1" t="n"/>
      <c r="G1" s="1" t="n"/>
      <c r="H1" s="1" t="n"/>
    </row>
    <row r="2" ht="8" customHeight="1">
      <c r="A2" s="1" t="n"/>
      <c r="B2" s="1" t="n"/>
      <c r="C2" s="1" t="n"/>
      <c r="D2" s="1" t="n"/>
      <c r="E2" s="1" t="n"/>
      <c r="F2" s="1" t="n"/>
      <c r="G2" s="1" t="n"/>
      <c r="H2" s="1" t="n"/>
    </row>
    <row r="4" ht="18" customHeight="1">
      <c r="C4" s="2" t="inlineStr">
        <is>
          <t>[ Plaats hier je logo ]</t>
        </is>
      </c>
      <c r="D4" s="3" t="n"/>
      <c r="E4" s="3" t="n"/>
      <c r="F4" s="4" t="n"/>
    </row>
    <row r="5" ht="18" customHeight="1">
      <c r="C5" s="5" t="n"/>
      <c r="D5" s="6" t="n"/>
      <c r="E5" s="6" t="n"/>
      <c r="F5" s="7" t="n"/>
    </row>
    <row r="6" ht="18" customHeight="1">
      <c r="C6" s="5" t="n"/>
      <c r="D6" s="6" t="n"/>
      <c r="E6" s="6" t="n"/>
      <c r="F6" s="7" t="n"/>
    </row>
    <row r="7" ht="18" customHeight="1">
      <c r="C7" s="5" t="n"/>
      <c r="D7" s="6" t="n"/>
      <c r="E7" s="6" t="n"/>
      <c r="F7" s="7" t="n"/>
    </row>
    <row r="8" ht="18" customHeight="1">
      <c r="C8" s="5" t="n"/>
      <c r="D8" s="6" t="n"/>
      <c r="E8" s="6" t="n"/>
      <c r="F8" s="7" t="n"/>
    </row>
    <row r="9" ht="18" customHeight="1">
      <c r="C9" s="5" t="n"/>
      <c r="D9" s="6" t="n"/>
      <c r="E9" s="6" t="n"/>
      <c r="F9" s="7" t="n"/>
    </row>
    <row r="10" ht="18" customHeight="1">
      <c r="C10" s="5" t="n"/>
      <c r="D10" s="6" t="n"/>
      <c r="E10" s="6" t="n"/>
      <c r="F10" s="7" t="n"/>
    </row>
    <row r="11" ht="18" customHeight="1">
      <c r="C11" s="8" t="n"/>
      <c r="D11" s="9" t="n"/>
      <c r="E11" s="9" t="n"/>
      <c r="F11" s="10" t="n"/>
    </row>
    <row r="13" ht="56" customHeight="1">
      <c r="B13" s="11" t="inlineStr">
        <is>
          <t>GELDPLANNER</t>
        </is>
      </c>
    </row>
    <row r="14" ht="22" customHeight="1">
      <c r="B14" s="12" t="inlineStr">
        <is>
          <t>Grip op je geld — cashflow, pensioen en vermogensopbouw in één overzicht</t>
        </is>
      </c>
    </row>
    <row r="16" ht="4" customHeight="1">
      <c r="C16" s="13" t="n"/>
      <c r="D16" s="13" t="n"/>
      <c r="E16" s="13" t="n"/>
      <c r="F16" s="13" t="n"/>
    </row>
    <row r="18" ht="20" customHeight="1">
      <c r="B18" s="14" t="inlineStr">
        <is>
          <t>Welkom bij Geldplanner. Deze werkmap geeft je in een paar minuten overzicht over je maandelijkse cashflow, je pensioengat en de groei van je vermogen — met heldere, aanpasbare formules in plaats van een kant-en-klaar zwart doosje.
Vul de gele cellen op de tabbladen in; het Dashboard werkt automatisch bij.</t>
        </is>
      </c>
    </row>
    <row r="19" ht="20" customHeight="1"/>
    <row r="20" ht="20" customHeight="1"/>
    <row r="21" ht="20" customHeight="1"/>
    <row r="23">
      <c r="B23" s="15" t="inlineStr">
        <is>
          <t>WAT ZIT ERIN?</t>
        </is>
      </c>
    </row>
    <row r="24" ht="19" customHeight="1">
      <c r="C24" s="16" t="inlineStr">
        <is>
          <t>◆  Dashboard — je financiële situatie in één oogopslag</t>
        </is>
      </c>
    </row>
    <row r="25" ht="19" customHeight="1">
      <c r="C25" s="16" t="inlineStr">
        <is>
          <t>◆  Cashflow Overzicht — inkomsten, lasten en je maandelijkse overschot</t>
        </is>
      </c>
    </row>
    <row r="26" ht="19" customHeight="1">
      <c r="C26" s="16" t="inlineStr">
        <is>
          <t>◆  Pensioengat Calculator — wat je AOW en pensioen missen, en wat je daarvoor opzij zet</t>
        </is>
      </c>
    </row>
    <row r="27" ht="19" customHeight="1">
      <c r="C27" s="16" t="inlineStr">
        <is>
          <t>◆  Vermogensgroei — de projectie van je spaargeld en beleggingen</t>
        </is>
      </c>
    </row>
    <row r="29" ht="26" customHeight="1">
      <c r="B29" s="17" t="inlineStr">
        <is>
          <t>→  Ga naar het tabblad 'Dashboard' om te beginnen</t>
        </is>
      </c>
      <c r="C29" s="18" t="n"/>
      <c r="D29" s="18" t="n"/>
      <c r="E29" s="18" t="n"/>
      <c r="F29" s="18" t="n"/>
      <c r="G29" s="19" t="n"/>
    </row>
    <row r="31" ht="26" customHeight="1">
      <c r="B31" s="20" t="inlineStr">
        <is>
          <t>Geldplanner · Versie 1.0  ·  Deze tool is uitsluitend bedoeld voor informatieve doeleinden en biedt geen financieel advies. Zie het tabblad 'Instructies' voor de volledige toelichting.</t>
        </is>
      </c>
    </row>
  </sheetData>
  <sheetProtection selectLockedCells="0" selectUnlockedCells="0" sheet="1" objects="0" insertRows="1" insertHyperlinks="1" autoFilter="1" scenarios="0" formatColumns="1" deleteColumns="1" insertColumns="1" pivotTables="1" deleteRows="1" formatCells="1" formatRows="1" sort="1"/>
  <mergeCells count="12">
    <mergeCell ref="C4:F11"/>
    <mergeCell ref="B14:G14"/>
    <mergeCell ref="C26:F26"/>
    <mergeCell ref="B23:G23"/>
    <mergeCell ref="C27:F27"/>
    <mergeCell ref="B31:G31"/>
    <mergeCell ref="C16:F16"/>
    <mergeCell ref="B18:G21"/>
    <mergeCell ref="B13:G13"/>
    <mergeCell ref="C24:F24"/>
    <mergeCell ref="C25:F25"/>
    <mergeCell ref="B29:G29"/>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C9A227"/>
    <outlinePr summaryBelow="1" summaryRight="1"/>
    <pageSetUpPr fitToPage="1"/>
  </sheetPr>
  <dimension ref="B1:F27"/>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24" customWidth="1" min="3" max="3"/>
    <col width="3" customWidth="1" min="4" max="4"/>
    <col width="24" customWidth="1" min="5" max="5"/>
    <col width="24" customWidth="1" min="6" max="6"/>
    <col width="2" customWidth="1" min="7" max="7"/>
  </cols>
  <sheetData>
    <row r="1"/>
    <row r="2" ht="32" customHeight="1">
      <c r="B2" s="21" t="inlineStr">
        <is>
          <t>Dashboard</t>
        </is>
      </c>
      <c r="C2" s="1" t="n"/>
      <c r="D2" s="1" t="n"/>
      <c r="E2" s="1" t="n"/>
      <c r="F2" s="1" t="n"/>
    </row>
    <row r="3" ht="18" customHeight="1">
      <c r="B3" s="22" t="inlineStr">
        <is>
          <t>Jouw financiële situatie in één oogopslag — werkt automatisch bij zodra je de andere tabbladen invult</t>
        </is>
      </c>
      <c r="C3" s="1" t="n"/>
      <c r="D3" s="1" t="n"/>
      <c r="E3" s="1" t="n"/>
      <c r="F3" s="1" t="n"/>
    </row>
    <row r="6" ht="22" customHeight="1">
      <c r="B6" s="23" t="inlineStr">
        <is>
          <t>€   MAANDELIJKS OVERSCHOT / TEKORT</t>
        </is>
      </c>
      <c r="C6" s="24" t="n"/>
      <c r="E6" s="23" t="inlineStr">
        <is>
          <t>%   SPAARQUOTE</t>
        </is>
      </c>
      <c r="F6" s="24" t="n"/>
    </row>
    <row r="7" ht="26" customHeight="1">
      <c r="B7" s="25">
        <f>'Cashflow Overzicht'!C40</f>
        <v/>
      </c>
      <c r="C7" s="26" t="n"/>
      <c r="E7" s="27">
        <f>IF('Cashflow Overzicht'!C41="","–",'Cashflow Overzicht'!C41)</f>
        <v/>
      </c>
      <c r="F7" s="26" t="n"/>
    </row>
    <row r="8" ht="26" customHeight="1">
      <c r="B8" s="28" t="n"/>
      <c r="C8" s="26" t="n"/>
      <c r="E8" s="28" t="n"/>
      <c r="F8" s="26" t="n"/>
    </row>
    <row r="9" ht="26" customHeight="1">
      <c r="B9" s="28" t="n"/>
      <c r="C9" s="26" t="n"/>
      <c r="E9" s="28" t="n"/>
      <c r="F9" s="26" t="n"/>
    </row>
    <row r="10" ht="22" customHeight="1">
      <c r="B10" s="29">
        <f>IF('Cashflow Overzicht'!C40&gt;=0,"✓ Je houdt geld over","⚠ Je geeft meer uit dan je binnenkrijgt")</f>
        <v/>
      </c>
      <c r="C10" s="30" t="n"/>
      <c r="E10" s="29">
        <f>IF('Cashflow Overzicht'!C41="","Nog geen data",IF('Cashflow Overzicht'!C41&gt;=0.1,"✓ Gezonde spaarquote",IF('Cashflow Overzicht'!C41&gt;=0,"⚠ Kan beter","✕ Tekort")))</f>
        <v/>
      </c>
      <c r="F10" s="30" t="n"/>
    </row>
    <row r="13" ht="22" customHeight="1">
      <c r="B13" s="23" t="inlineStr">
        <is>
          <t>◆   PENSIOENGAT</t>
        </is>
      </c>
      <c r="C13" s="24" t="n"/>
      <c r="E13" s="23">
        <f>CONCATENATE("↗   VERWACHT VERMOGEN OVER ",'Vermogensgroei'!C14," JAAR")</f>
        <v/>
      </c>
      <c r="F13" s="24" t="n"/>
    </row>
    <row r="14" ht="26" customHeight="1">
      <c r="B14" s="25">
        <f>'Pensioengat Calculator'!C33</f>
        <v/>
      </c>
      <c r="C14" s="26" t="n"/>
      <c r="E14" s="25">
        <f>'Vermogensgroei'!C23</f>
        <v/>
      </c>
      <c r="F14" s="26" t="n"/>
    </row>
    <row r="15" ht="26" customHeight="1">
      <c r="B15" s="28" t="n"/>
      <c r="C15" s="26" t="n"/>
      <c r="E15" s="28" t="n"/>
      <c r="F15" s="26" t="n"/>
    </row>
    <row r="16" ht="26" customHeight="1">
      <c r="B16" s="28" t="n"/>
      <c r="C16" s="26" t="n"/>
      <c r="E16" s="28" t="n"/>
      <c r="F16" s="26" t="n"/>
    </row>
    <row r="17" ht="22" customHeight="1">
      <c r="B17" s="29">
        <f>IF('Pensioengat Calculator'!C33&lt;=0,"✓ Op koers","⚠ Actie nodig")</f>
        <v/>
      </c>
      <c r="C17" s="30" t="n"/>
      <c r="E17" s="29">
        <f>CONCATENATE("Koopkracht van nu: € ",TEXT('Vermogensgroei'!C26,"#,##0"))</f>
        <v/>
      </c>
      <c r="F17" s="30" t="n"/>
    </row>
    <row r="21" ht="20" customHeight="1">
      <c r="B21" s="31" t="inlineStr">
        <is>
          <t>◆  AAN DE SLAG</t>
        </is>
      </c>
      <c r="C21" s="32" t="n"/>
      <c r="D21" s="32" t="n"/>
      <c r="E21" s="32" t="n"/>
      <c r="F21" s="32" t="n"/>
    </row>
    <row r="22">
      <c r="B22" s="33" t="inlineStr">
        <is>
          <t>1  Vul je cijfers in op 'Cashflow Overzicht', 'Pensioengat Calculator' en 'Vermogensgroei'.</t>
        </is>
      </c>
    </row>
    <row r="23">
      <c r="B23" s="33" t="inlineStr">
        <is>
          <t>2  Kom terug naar dit Dashboard — de kaarten hierboven werken automatisch bij.</t>
        </is>
      </c>
    </row>
    <row r="24">
      <c r="B24" s="33" t="inlineStr">
        <is>
          <t>3  Je maandelijkse overschot loopt automatisch door als voorstel voor je inleg bij pensioen en vermogen; dit kun je op elk tabblad overschrijven.</t>
        </is>
      </c>
    </row>
    <row r="25">
      <c r="B25" s="33" t="inlineStr">
        <is>
          <t>4  Twijfel je over de kleurcodering of de formules? Kijk op het tabblad 'Instructies'.</t>
        </is>
      </c>
    </row>
    <row r="27">
      <c r="B27" s="33" t="inlineStr">
        <is>
          <t>Deze tool is uitsluitend bedoeld voor informatieve doeleinden en biedt geen financieel advies.</t>
        </is>
      </c>
    </row>
  </sheetData>
  <sheetProtection selectLockedCells="0" selectUnlockedCells="0" sheet="1" objects="0" insertRows="1" insertHyperlinks="1" autoFilter="1" scenarios="0" formatColumns="1" deleteColumns="1" insertColumns="1" pivotTables="1" deleteRows="1" formatCells="1" formatRows="1" sort="1"/>
  <mergeCells count="20">
    <mergeCell ref="E7:F9"/>
    <mergeCell ref="B25:F25"/>
    <mergeCell ref="B7:C9"/>
    <mergeCell ref="B3:F3"/>
    <mergeCell ref="B22:F22"/>
    <mergeCell ref="E17:F17"/>
    <mergeCell ref="B27:F27"/>
    <mergeCell ref="B21:F21"/>
    <mergeCell ref="B2:F2"/>
    <mergeCell ref="E10:F10"/>
    <mergeCell ref="E14:F16"/>
    <mergeCell ref="E13:F13"/>
    <mergeCell ref="B23:F23"/>
    <mergeCell ref="B17:C17"/>
    <mergeCell ref="B13:C13"/>
    <mergeCell ref="E6:F6"/>
    <mergeCell ref="B14:C16"/>
    <mergeCell ref="B10:C10"/>
    <mergeCell ref="B6:C6"/>
    <mergeCell ref="B24:F24"/>
  </mergeCells>
  <conditionalFormatting sqref="B7">
    <cfRule type="expression" priority="1" dxfId="0">
      <formula>'Cashflow Overzicht'!C40&lt;0</formula>
    </cfRule>
  </conditionalFormatting>
  <conditionalFormatting sqref="B10">
    <cfRule type="expression" priority="2" dxfId="1">
      <formula>'Cashflow Overzicht'!C40&gt;=0</formula>
    </cfRule>
    <cfRule type="expression" priority="3" dxfId="2">
      <formula>'Cashflow Overzicht'!C40&lt;0</formula>
    </cfRule>
  </conditionalFormatting>
  <conditionalFormatting sqref="E10">
    <cfRule type="expression" priority="4" dxfId="1">
      <formula>AND('Cashflow Overzicht'!C41&lt;&gt;"",'Cashflow Overzicht'!C41&gt;=0.1)</formula>
    </cfRule>
    <cfRule type="expression" priority="5" dxfId="3">
      <formula>AND('Cashflow Overzicht'!C41&lt;&gt;"",'Cashflow Overzicht'!C41&gt;=0,'Cashflow Overzicht'!C41&lt;0.1)</formula>
    </cfRule>
    <cfRule type="expression" priority="6" dxfId="2">
      <formula>AND('Cashflow Overzicht'!C41&lt;&gt;"",'Cashflow Overzicht'!C41&lt;0)</formula>
    </cfRule>
  </conditionalFormatting>
  <conditionalFormatting sqref="B17">
    <cfRule type="expression" priority="7" dxfId="1">
      <formula>'Pensioengat Calculator'!C33&lt;=0</formula>
    </cfRule>
    <cfRule type="expression" priority="8" dxfId="3">
      <formula>'Pensioengat Calculator'!C33&gt;0</formula>
    </cfRule>
  </conditionalFormatting>
  <pageMargins left="0.75" right="0.75" top="1" bottom="1" header="0.5" footer="0.5"/>
  <pageSetup orientation="portrait" fitToHeight="0" fitToWidth="1"/>
</worksheet>
</file>

<file path=xl/worksheets/sheet3.xml><?xml version="1.0" encoding="utf-8"?>
<worksheet xmlns="http://schemas.openxmlformats.org/spreadsheetml/2006/main">
  <sheetPr>
    <tabColor rgb="00132A46"/>
    <outlinePr summaryBelow="1" summaryRight="1"/>
    <pageSetUpPr fitToPage="1"/>
  </sheetPr>
  <dimension ref="B1:C3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80" customWidth="1" min="3" max="3"/>
    <col width="2" customWidth="1" min="4" max="4"/>
  </cols>
  <sheetData>
    <row r="1"/>
    <row r="2" ht="32" customHeight="1">
      <c r="B2" s="21" t="inlineStr">
        <is>
          <t>Geldplanner</t>
        </is>
      </c>
      <c r="C2" s="1" t="n"/>
    </row>
    <row r="3" ht="18" customHeight="1">
      <c r="B3" s="22" t="inlineStr">
        <is>
          <t>Persoonlijk financieel overzicht voor Nederlandse huishoudens</t>
        </is>
      </c>
      <c r="C3" s="1" t="n"/>
    </row>
    <row r="5">
      <c r="B5" s="34" t="inlineStr">
        <is>
          <t>Welkom</t>
        </is>
      </c>
    </row>
    <row r="6">
      <c r="B6" s="33" t="inlineStr">
        <is>
          <t>Deze werkmap helpt je in kaart te brengen wat er maandelijks binnenkomt en weggaat, hoe groot je</t>
        </is>
      </c>
    </row>
    <row r="7">
      <c r="B7" s="33" t="inlineStr">
        <is>
          <t>pensioengat is en hoe je vermogen groeit. Het Dashboard geeft een direct overzicht van je situatie.</t>
        </is>
      </c>
    </row>
    <row r="8">
      <c r="B8" s="33" t="inlineStr">
        <is>
          <t>Vul alleen de gele cellen in. De grijze, blauwe en goudkleurige cellen bevatten formules en zijn vergrendeld.</t>
        </is>
      </c>
    </row>
    <row r="10" ht="20" customHeight="1">
      <c r="B10" s="31" t="inlineStr">
        <is>
          <t>◆  DE TABBLADEN</t>
        </is>
      </c>
      <c r="C10" s="32" t="n"/>
    </row>
    <row r="11">
      <c r="B11" s="35" t="inlineStr">
        <is>
          <t>Tabblad</t>
        </is>
      </c>
      <c r="C11" s="35" t="inlineStr">
        <is>
          <t>Wat doe je hier?</t>
        </is>
      </c>
    </row>
    <row r="12" ht="30" customHeight="1">
      <c r="B12" s="36" t="inlineStr">
        <is>
          <t>1. Titelblad</t>
        </is>
      </c>
      <c r="C12" s="37" t="inlineStr">
        <is>
          <t>Voorblad met een plek voor je eigen logo, de productnaam en een korte introductie.</t>
        </is>
      </c>
    </row>
    <row r="13" ht="44" customHeight="1">
      <c r="B13" s="36" t="inlineStr">
        <is>
          <t>2. Dashboard</t>
        </is>
      </c>
      <c r="C13" s="37" t="inlineStr">
        <is>
          <t>Vier KPI-kaarten die automatisch bijwerken vanuit de andere tabbladen: je maandelijkse overschot, je spaarquote, de status van je pensioengat en je verwachte vermogen.</t>
        </is>
      </c>
    </row>
    <row r="14" ht="30" customHeight="1">
      <c r="B14" s="36" t="inlineStr">
        <is>
          <t>3. Instructies</t>
        </is>
      </c>
      <c r="C14" s="37" t="inlineStr">
        <is>
          <t>Deze pagina: uitleg, kleurcodering en de disclaimer.</t>
        </is>
      </c>
    </row>
    <row r="15" ht="44" customHeight="1">
      <c r="B15" s="36" t="inlineStr">
        <is>
          <t>4. Cashflow Overzicht</t>
        </is>
      </c>
      <c r="C15" s="37" t="inlineStr">
        <is>
          <t>Vul je maandelijkse inkomsten, vaste lasten en variabele kosten in. Je ziet direct je totale inkomsten, totale uitgaven, het maandelijkse overschot of tekort en je spaarquote.</t>
        </is>
      </c>
    </row>
    <row r="16" ht="44" customHeight="1">
      <c r="B16" s="36" t="inlineStr">
        <is>
          <t>5. Pensioengat Calculator</t>
        </is>
      </c>
      <c r="C16" s="37" t="inlineStr">
        <is>
          <t>Vul je leeftijd, gewenste pensioenleeftijd, gewenst pensioeninkomen, opgebouwd pensioenvermogen en verwachte AOW in. Je maandelijkse overschot uit 'Cashflow Overzicht' loopt automatisch door als voorstel voor je pensioeninleg; je kunt dit overschrijven.</t>
        </is>
      </c>
    </row>
    <row r="17" ht="44" customHeight="1">
      <c r="B17" s="36" t="inlineStr">
        <is>
          <t>6. Vermogensgroei</t>
        </is>
      </c>
      <c r="C17" s="37" t="inlineStr">
        <is>
          <t>Vul je startkapitaal, verwacht rendement en looptijd in. Ook hier loopt je overschot uit 'Cashflow Overzicht' automatisch door als voorstel voor je maandelijkse inleg. Je ziet de geprojecteerde waarde per jaar plus een grafiek van de groei.</t>
        </is>
      </c>
    </row>
    <row r="19" ht="20" customHeight="1">
      <c r="B19" s="31" t="inlineStr">
        <is>
          <t>◆  KLEURCODERING</t>
        </is>
      </c>
      <c r="C19" s="32" t="n"/>
    </row>
    <row r="20">
      <c r="B20" s="38" t="inlineStr">
        <is>
          <t>Invoercel (geel)</t>
        </is>
      </c>
      <c r="C20" s="39" t="inlineStr">
        <is>
          <t>Hier vul je zelf iets in. Alleen deze cellen zijn bewerkbaar.</t>
        </is>
      </c>
    </row>
    <row r="21">
      <c r="B21" s="40" t="inlineStr">
        <is>
          <t>Berekende cel (grijs)</t>
        </is>
      </c>
      <c r="C21" s="39" t="inlineStr">
        <is>
          <t>Bevat een formule. Vergrendeld zodat je niet per ongeluk een berekening overschrijft.</t>
        </is>
      </c>
    </row>
    <row r="22">
      <c r="B22" s="41" t="inlineStr">
        <is>
          <t>Sectieresultaat (blauw)</t>
        </is>
      </c>
      <c r="C22" s="39" t="inlineStr">
        <is>
          <t>Het eindresultaat van een sectie. Ook vergrendeld.</t>
        </is>
      </c>
    </row>
    <row r="23">
      <c r="B23" s="42" t="inlineStr">
        <is>
          <t>Hoofduitkomst (goud, groot)</t>
        </is>
      </c>
      <c r="C23" s="39" t="inlineStr">
        <is>
          <t>De belangrijkste cijfer van het hele tabblad, bijvoorbeeld je pensioengat.</t>
        </is>
      </c>
    </row>
    <row r="25">
      <c r="B25" s="33" t="inlineStr">
        <is>
          <t>Op het Dashboard betekent een groene badge dat je situatie gezond is, oranje dat er een aandachtspunt is en rood dat directe actie nodig is.</t>
        </is>
      </c>
    </row>
    <row r="27" ht="20" customHeight="1">
      <c r="B27" s="31" t="inlineStr">
        <is>
          <t>◆  ZO GEBRUIK JE DE WERKMAP</t>
        </is>
      </c>
      <c r="C27" s="32" t="n"/>
    </row>
    <row r="28" ht="30" customHeight="1">
      <c r="B28" s="43" t="inlineStr">
        <is>
          <t>1. Begin bij 'Cashflow Overzicht' en vul je maandbudget in. Alles wat niet van toepassing is laat je op 0 staan.</t>
        </is>
      </c>
    </row>
    <row r="29" ht="17" customHeight="1">
      <c r="B29" s="43" t="inlineStr">
        <is>
          <t>2. Bekijk het 'Dashboard' voor een overzicht van je situatie.</t>
        </is>
      </c>
    </row>
    <row r="30" ht="30" customHeight="1">
      <c r="B30" s="43" t="inlineStr">
        <is>
          <t>3. Ga naar 'Pensioengat Calculator' en 'Vermogensgroei'. Je maandelijkse overschot uit stap 1 loopt daar automatisch door als voorstel voor je inleg — kies 'Nee' bij de koppeling om je eigen bedrag te gebruiken.</t>
        </is>
      </c>
    </row>
    <row r="31" ht="30" customHeight="1">
      <c r="B31" s="43" t="inlineStr">
        <is>
          <t>4. De bladen zijn beveiligd zonder wachtwoord. Wil je formules aanpassen? Controleren &gt; Blad-beveiliging opheffen.</t>
        </is>
      </c>
    </row>
    <row r="32" ht="30" customHeight="1">
      <c r="B32" s="43" t="inlineStr">
        <is>
          <t>5. Bedragen staan in euro's. Op een Nederlandse Excel-installatie verschijnen ze als € 1.234,56.</t>
        </is>
      </c>
    </row>
    <row r="34" ht="20" customHeight="1">
      <c r="B34" s="31" t="inlineStr">
        <is>
          <t>◆  BELANGRIJK — DISCLAIMER</t>
        </is>
      </c>
      <c r="C34" s="32" t="n"/>
    </row>
    <row r="35" ht="26" customHeight="1">
      <c r="B35" s="44" t="inlineStr">
        <is>
          <t>Deze tool is uitsluitend bedoeld voor informatieve doeleinden en biedt geen financieel advies.
Rendementen uit het verleden bieden geen garantie voor de toekomst; beleggen brengt risico's met zich mee en je kunt je inleg verliezen. De berekeningen zijn schattingen op basis van de aannames die je zelf invult.
Raadpleeg voor persoonlijk advies een financieel adviseur.</t>
        </is>
      </c>
    </row>
    <row r="36" ht="26" customHeight="1"/>
    <row r="37" ht="26" customHeight="1"/>
    <row r="38" ht="26" customHeight="1"/>
  </sheetData>
  <sheetProtection selectLockedCells="0" selectUnlockedCells="0" sheet="1" objects="0" insertRows="1" insertHyperlinks="1" autoFilter="1" scenarios="0" formatColumns="1" deleteColumns="1" insertColumns="1" pivotTables="1" deleteRows="1" formatCells="1" formatRows="1" sort="1"/>
  <mergeCells count="17">
    <mergeCell ref="B6:C6"/>
    <mergeCell ref="B30:C30"/>
    <mergeCell ref="B2:C2"/>
    <mergeCell ref="B29:C29"/>
    <mergeCell ref="B7:C7"/>
    <mergeCell ref="B25:C25"/>
    <mergeCell ref="B3:C3"/>
    <mergeCell ref="B5:C5"/>
    <mergeCell ref="B19:C19"/>
    <mergeCell ref="B34:C34"/>
    <mergeCell ref="B10:C10"/>
    <mergeCell ref="B28:C28"/>
    <mergeCell ref="B32:C32"/>
    <mergeCell ref="B35:C38"/>
    <mergeCell ref="B31:C31"/>
    <mergeCell ref="B27:C27"/>
    <mergeCell ref="B8:C8"/>
  </mergeCells>
  <pageMargins left="0.75" right="0.75" top="1" bottom="1" header="0.5" footer="0.5"/>
  <pageSetup orientation="portrait" fitToHeight="0" fitToWidth="1"/>
</worksheet>
</file>

<file path=xl/worksheets/sheet4.xml><?xml version="1.0" encoding="utf-8"?>
<worksheet xmlns="http://schemas.openxmlformats.org/spreadsheetml/2006/main">
  <sheetPr>
    <tabColor rgb="002E75B6"/>
    <outlinePr summaryBelow="1" summaryRight="1"/>
    <pageSetUpPr fitToPage="1"/>
  </sheetPr>
  <dimension ref="B1:D55"/>
  <sheetViews>
    <sheetView showGridLines="0" workbookViewId="0">
      <pane ySplit="4" topLeftCell="A5" activePane="bottomLeft" state="frozen"/>
      <selection pane="bottomLeft" activeCell="A1" sqref="A1"/>
    </sheetView>
  </sheetViews>
  <sheetFormatPr baseColWidth="8" defaultRowHeight="15"/>
  <cols>
    <col width="2" customWidth="1" min="1" max="1"/>
    <col width="38" customWidth="1" min="2" max="2"/>
    <col width="16" customWidth="1" min="3" max="3"/>
    <col width="44" customWidth="1" min="4" max="4"/>
    <col width="2" customWidth="1" min="5" max="5"/>
    <col width="12" customWidth="1" min="6" max="6"/>
    <col width="12" customWidth="1" min="7" max="7"/>
    <col width="12" customWidth="1" min="8" max="8"/>
    <col width="12" customWidth="1" min="9" max="9"/>
    <col width="12" customWidth="1" min="10" max="10"/>
    <col width="12" customWidth="1" min="11" max="11"/>
  </cols>
  <sheetData>
    <row r="1"/>
    <row r="2" ht="32" customHeight="1">
      <c r="B2" s="21" t="inlineStr">
        <is>
          <t>Cashflow Overzicht</t>
        </is>
      </c>
      <c r="C2" s="1" t="n"/>
      <c r="D2" s="1" t="n"/>
    </row>
    <row r="3" ht="18" customHeight="1">
      <c r="B3" s="22" t="inlineStr">
        <is>
          <t>Wat komt er maandelijks binnen en wat gaat eruit?</t>
        </is>
      </c>
      <c r="C3" s="1" t="n"/>
      <c r="D3" s="1" t="n"/>
    </row>
    <row r="5" ht="20" customHeight="1">
      <c r="B5" s="31" t="inlineStr">
        <is>
          <t>◆  INKOMSTEN PER MAAND</t>
        </is>
      </c>
      <c r="C5" s="32" t="n"/>
      <c r="D5" s="32" t="n"/>
    </row>
    <row r="6" ht="17" customHeight="1">
      <c r="B6" s="45" t="inlineStr">
        <is>
          <t>Nettosalaris persoon 1</t>
        </is>
      </c>
      <c r="C6" s="46" t="n">
        <v>3600</v>
      </c>
      <c r="D6" s="47" t="inlineStr">
        <is>
          <t>Bedrag dat op je rekening staat</t>
        </is>
      </c>
    </row>
    <row r="7" ht="17" customHeight="1">
      <c r="B7" s="48" t="inlineStr">
        <is>
          <t>Nettosalaris persoon 2</t>
        </is>
      </c>
      <c r="C7" s="49" t="n">
        <v>0</v>
      </c>
      <c r="D7" s="50" t="inlineStr">
        <is>
          <t>Laat op 0 staan als je alleenstaand bent</t>
        </is>
      </c>
    </row>
    <row r="8" ht="17" customHeight="1">
      <c r="B8" s="48" t="inlineStr">
        <is>
          <t>Freelance-inkomsten (netto)</t>
        </is>
      </c>
      <c r="C8" s="49" t="n">
        <v>0</v>
      </c>
      <c r="D8" s="50" t="inlineStr">
        <is>
          <t>Netto bedrag, na belasting</t>
        </is>
      </c>
    </row>
    <row r="9" ht="17" customHeight="1">
      <c r="B9" s="48" t="inlineStr">
        <is>
          <t>Toeslagen (huur-, zorg-, kinderopvang)</t>
        </is>
      </c>
      <c r="C9" s="49" t="n">
        <v>0</v>
      </c>
      <c r="D9" s="51" t="n"/>
    </row>
    <row r="10" ht="17" customHeight="1">
      <c r="B10" s="48" t="inlineStr">
        <is>
          <t>Huurinkomsten / alimentatie</t>
        </is>
      </c>
      <c r="C10" s="49" t="n">
        <v>0</v>
      </c>
      <c r="D10" s="51" t="n"/>
    </row>
    <row r="11" ht="17" customHeight="1">
      <c r="B11" s="48" t="inlineStr">
        <is>
          <t>Overige inkomsten</t>
        </is>
      </c>
      <c r="C11" s="49" t="n">
        <v>0</v>
      </c>
      <c r="D11" s="51" t="n"/>
    </row>
    <row r="12" ht="17" customHeight="1">
      <c r="B12" s="52" t="inlineStr">
        <is>
          <t>Totale inkomsten</t>
        </is>
      </c>
      <c r="C12" s="53">
        <f>SUM(C6:C11)</f>
        <v/>
      </c>
      <c r="D12" s="54" t="n"/>
    </row>
    <row r="14" ht="20" customHeight="1">
      <c r="B14" s="31" t="inlineStr">
        <is>
          <t>◆  VASTE LASTEN PER MAAND</t>
        </is>
      </c>
      <c r="C14" s="32" t="n"/>
      <c r="D14" s="32" t="n"/>
    </row>
    <row r="15" ht="17" customHeight="1">
      <c r="B15" s="45" t="inlineStr">
        <is>
          <t>Huur of hypotheek</t>
        </is>
      </c>
      <c r="C15" s="46" t="n">
        <v>1250</v>
      </c>
      <c r="D15" s="55" t="n"/>
    </row>
    <row r="16" ht="17" customHeight="1">
      <c r="B16" s="48" t="inlineStr">
        <is>
          <t>Energie, water en warmte</t>
        </is>
      </c>
      <c r="C16" s="49" t="n">
        <v>180</v>
      </c>
      <c r="D16" s="51" t="n"/>
    </row>
    <row r="17" ht="17" customHeight="1">
      <c r="B17" s="48" t="inlineStr">
        <is>
          <t>Zorgverzekering</t>
        </is>
      </c>
      <c r="C17" s="49" t="n">
        <v>290</v>
      </c>
      <c r="D17" s="50" t="inlineStr">
        <is>
          <t>Beide partners samen</t>
        </is>
      </c>
    </row>
    <row r="18" ht="17" customHeight="1">
      <c r="B18" s="48" t="inlineStr">
        <is>
          <t>Overige verzekeringen</t>
        </is>
      </c>
      <c r="C18" s="49" t="n">
        <v>65</v>
      </c>
      <c r="D18" s="50" t="inlineStr">
        <is>
          <t>Inboedel, aansprakelijkheid, opstal, ORV</t>
        </is>
      </c>
    </row>
    <row r="19" ht="17" customHeight="1">
      <c r="B19" s="48" t="inlineStr">
        <is>
          <t>Gemeentelijke belastingen en waterschap</t>
        </is>
      </c>
      <c r="C19" s="49" t="n">
        <v>60</v>
      </c>
      <c r="D19" s="50" t="inlineStr">
        <is>
          <t>Jaarbedrag gedeeld door 12</t>
        </is>
      </c>
    </row>
    <row r="20" ht="17" customHeight="1">
      <c r="B20" s="48" t="inlineStr">
        <is>
          <t>Internet, tv en telefoon</t>
        </is>
      </c>
      <c r="C20" s="49" t="n">
        <v>70</v>
      </c>
      <c r="D20" s="51" t="n"/>
    </row>
    <row r="21" ht="17" customHeight="1">
      <c r="B21" s="48" t="inlineStr">
        <is>
          <t>Abonnementen en lidmaatschappen</t>
        </is>
      </c>
      <c r="C21" s="49" t="n">
        <v>45</v>
      </c>
      <c r="D21" s="50" t="inlineStr">
        <is>
          <t>Streaming, sportschool, kranten</t>
        </is>
      </c>
    </row>
    <row r="22" ht="17" customHeight="1">
      <c r="B22" s="48" t="inlineStr">
        <is>
          <t>Aflossing leningen en studieschuld</t>
        </is>
      </c>
      <c r="C22" s="49" t="n">
        <v>0</v>
      </c>
      <c r="D22" s="51" t="n"/>
    </row>
    <row r="23" ht="17" customHeight="1">
      <c r="B23" s="48" t="inlineStr">
        <is>
          <t>Kinderopvang / school</t>
        </is>
      </c>
      <c r="C23" s="49" t="n">
        <v>0</v>
      </c>
      <c r="D23" s="51" t="n"/>
    </row>
    <row r="24" ht="17" customHeight="1">
      <c r="B24" s="48" t="inlineStr">
        <is>
          <t>Overige vaste lasten</t>
        </is>
      </c>
      <c r="C24" s="49" t="n">
        <v>0</v>
      </c>
      <c r="D24" s="51" t="n"/>
    </row>
    <row r="25" ht="17" customHeight="1">
      <c r="B25" s="52" t="inlineStr">
        <is>
          <t>Totaal vaste lasten</t>
        </is>
      </c>
      <c r="C25" s="53">
        <f>SUM(C15:C24)</f>
        <v/>
      </c>
      <c r="D25" s="54" t="n"/>
    </row>
    <row r="27" ht="20" customHeight="1">
      <c r="B27" s="31" t="inlineStr">
        <is>
          <t>◆  VARIABELE KOSTEN PER MAAND</t>
        </is>
      </c>
      <c r="C27" s="32" t="n"/>
      <c r="D27" s="32" t="n"/>
    </row>
    <row r="28" ht="17" customHeight="1">
      <c r="B28" s="45" t="inlineStr">
        <is>
          <t>Boodschappen</t>
        </is>
      </c>
      <c r="C28" s="46" t="n">
        <v>550</v>
      </c>
      <c r="D28" s="55" t="n"/>
    </row>
    <row r="29" ht="17" customHeight="1">
      <c r="B29" s="48" t="inlineStr">
        <is>
          <t>Vervoer (brandstof, OV, onderhoud)</t>
        </is>
      </c>
      <c r="C29" s="49" t="n">
        <v>200</v>
      </c>
      <c r="D29" s="51" t="n"/>
    </row>
    <row r="30" ht="17" customHeight="1">
      <c r="B30" s="48" t="inlineStr">
        <is>
          <t>Vrije tijd, uitgaan en horeca</t>
        </is>
      </c>
      <c r="C30" s="49" t="n">
        <v>200</v>
      </c>
      <c r="D30" s="51" t="n"/>
    </row>
    <row r="31" ht="17" customHeight="1">
      <c r="B31" s="48" t="inlineStr">
        <is>
          <t>Kleding en persoonlijke verzorging</t>
        </is>
      </c>
      <c r="C31" s="49" t="n">
        <v>100</v>
      </c>
      <c r="D31" s="51" t="n"/>
    </row>
    <row r="32" ht="17" customHeight="1">
      <c r="B32" s="48" t="inlineStr">
        <is>
          <t>Zorgkosten (eigen risico, tandarts)</t>
        </is>
      </c>
      <c r="C32" s="49" t="n">
        <v>40</v>
      </c>
      <c r="D32" s="51" t="n"/>
    </row>
    <row r="33" ht="17" customHeight="1">
      <c r="B33" s="48" t="inlineStr">
        <is>
          <t>Vakantie (gereserveerd per maand)</t>
        </is>
      </c>
      <c r="C33" s="49" t="n">
        <v>150</v>
      </c>
      <c r="D33" s="51" t="n"/>
    </row>
    <row r="34" ht="17" customHeight="1">
      <c r="B34" s="48" t="inlineStr">
        <is>
          <t>Cadeaus, goede doelen en overig</t>
        </is>
      </c>
      <c r="C34" s="49" t="n">
        <v>75</v>
      </c>
      <c r="D34" s="51" t="n"/>
    </row>
    <row r="35" ht="17" customHeight="1">
      <c r="B35" s="52" t="inlineStr">
        <is>
          <t>Totaal variabele kosten</t>
        </is>
      </c>
      <c r="C35" s="53">
        <f>SUM(C28:C34)</f>
        <v/>
      </c>
      <c r="D35" s="54" t="n"/>
    </row>
    <row r="37" ht="20" customHeight="1">
      <c r="B37" s="31" t="inlineStr">
        <is>
          <t>◆  RESULTAAT</t>
        </is>
      </c>
      <c r="C37" s="32" t="n"/>
      <c r="D37" s="32" t="n"/>
    </row>
    <row r="38" ht="17" customHeight="1">
      <c r="B38" s="56" t="inlineStr">
        <is>
          <t>Totale inkomsten</t>
        </is>
      </c>
      <c r="C38" s="57">
        <f>C12</f>
        <v/>
      </c>
      <c r="D38" s="55" t="n"/>
    </row>
    <row r="39" ht="17" customHeight="1">
      <c r="B39" s="58" t="inlineStr">
        <is>
          <t>Totale uitgaven</t>
        </is>
      </c>
      <c r="C39" s="59">
        <f>C25+C35</f>
        <v/>
      </c>
      <c r="D39" s="51" t="n"/>
    </row>
    <row r="40" ht="34" customHeight="1">
      <c r="B40" s="60" t="inlineStr">
        <is>
          <t>Maandelijks overschot / tekort</t>
        </is>
      </c>
      <c r="C40" s="61">
        <f>C38-C39</f>
        <v/>
      </c>
      <c r="D40" s="50" t="inlineStr">
        <is>
          <t>Positief = je houdt over. Negatief = je komt tekort.</t>
        </is>
      </c>
    </row>
    <row r="41" ht="17" customHeight="1">
      <c r="B41" s="58" t="inlineStr">
        <is>
          <t>Spaarquote</t>
        </is>
      </c>
      <c r="C41" s="62">
        <f>IF(C38=0,"",C40/C38)</f>
        <v/>
      </c>
      <c r="D41" s="50" t="inlineStr">
        <is>
          <t>Deel van je inkomen dat je overhoudt</t>
        </is>
      </c>
    </row>
    <row r="42" ht="17" customHeight="1">
      <c r="B42" s="58" t="inlineStr">
        <is>
          <t>Overschot / tekort per jaar</t>
        </is>
      </c>
      <c r="C42" s="59">
        <f>C40*12</f>
        <v/>
      </c>
      <c r="D42" s="51" t="n"/>
    </row>
    <row r="43" ht="17" customHeight="1">
      <c r="B43" s="58" t="inlineStr">
        <is>
          <t>Vaste lasten als deel van inkomen</t>
        </is>
      </c>
      <c r="C43" s="62">
        <f>IF(C38=0,"",C25/C38)</f>
        <v/>
      </c>
      <c r="D43" s="50" t="inlineStr">
        <is>
          <t>Vuistregel: houd dit onder 50%</t>
        </is>
      </c>
    </row>
    <row r="44" ht="17" customHeight="1">
      <c r="B44" s="58" t="inlineStr">
        <is>
          <t>Buffer: hoeveel maanden uitgaven heb je?</t>
        </is>
      </c>
      <c r="C44" s="63">
        <f>IF(C25+C35=0,"",C46/(C25+C35))</f>
        <v/>
      </c>
      <c r="D44" s="50" t="inlineStr">
        <is>
          <t>Vuistregel: drie tot zes maanden</t>
        </is>
      </c>
    </row>
    <row r="45">
      <c r="B45" s="64" t="n"/>
      <c r="D45" s="51" t="n"/>
    </row>
    <row r="46" ht="17" customHeight="1">
      <c r="B46" s="48" t="inlineStr">
        <is>
          <t>Huidig spaargeld (buffer)</t>
        </is>
      </c>
      <c r="C46" s="49" t="n">
        <v>5000</v>
      </c>
      <c r="D46" s="50" t="inlineStr">
        <is>
          <t>Wordt gebruikt voor de bufferberekening hierboven</t>
        </is>
      </c>
    </row>
    <row r="47">
      <c r="B47" s="65" t="n"/>
      <c r="C47" s="66" t="n"/>
      <c r="D47" s="54" t="n"/>
    </row>
    <row r="49">
      <c r="B49" s="67" t="inlineStr">
        <is>
          <t>Grafiekgegevens</t>
        </is>
      </c>
      <c r="C49" s="67" t="inlineStr">
        <is>
          <t>Bedrag per maand</t>
        </is>
      </c>
    </row>
    <row r="50">
      <c r="B50" s="39" t="inlineStr">
        <is>
          <t>Inkomsten</t>
        </is>
      </c>
      <c r="C50" s="68">
        <f>C38</f>
        <v/>
      </c>
    </row>
    <row r="51">
      <c r="B51" s="39" t="inlineStr">
        <is>
          <t>Vaste lasten</t>
        </is>
      </c>
      <c r="C51" s="68">
        <f>C25</f>
        <v/>
      </c>
    </row>
    <row r="52">
      <c r="B52" s="39" t="inlineStr">
        <is>
          <t>Variabele kosten</t>
        </is>
      </c>
      <c r="C52" s="68">
        <f>C35</f>
        <v/>
      </c>
    </row>
    <row r="53">
      <c r="B53" s="39" t="inlineStr">
        <is>
          <t>Totale uitgaven</t>
        </is>
      </c>
      <c r="C53" s="68">
        <f>C39</f>
        <v/>
      </c>
    </row>
    <row r="55">
      <c r="B55" s="33" t="inlineStr">
        <is>
          <t>Deze tool is uitsluitend bedoeld voor informatieve doeleinden en biedt geen financieel advies.</t>
        </is>
      </c>
    </row>
  </sheetData>
  <sheetProtection selectLockedCells="0" selectUnlockedCells="0" sheet="1" objects="0" insertRows="1" insertHyperlinks="1" autoFilter="1" scenarios="0" formatColumns="1" deleteColumns="1" insertColumns="1" pivotTables="1" deleteRows="1" formatCells="1" formatRows="1" sort="1"/>
  <mergeCells count="7">
    <mergeCell ref="B3:D3"/>
    <mergeCell ref="B5:D5"/>
    <mergeCell ref="B14:D14"/>
    <mergeCell ref="B37:D37"/>
    <mergeCell ref="B27:D27"/>
    <mergeCell ref="B55:D55"/>
    <mergeCell ref="B2:D2"/>
  </mergeCells>
  <conditionalFormatting sqref="C40">
    <cfRule type="cellIs" priority="1" operator="lessThan" dxfId="4">
      <formula>0</formula>
    </cfRule>
    <cfRule type="cellIs" priority="2" operator="greaterThanOrEqual" dxfId="5">
      <formula>0</formula>
    </cfRule>
  </conditionalFormatting>
  <pageMargins left="0.75" right="0.75" top="1" bottom="1" header="0.5" footer="0.5"/>
  <pageSetup orientation="portrait" fitToHeight="0" fitToWidth="1"/>
  <drawing xmlns:r="http://schemas.openxmlformats.org/officeDocument/2006/relationships" r:id="rId1"/>
</worksheet>
</file>

<file path=xl/worksheets/sheet5.xml><?xml version="1.0" encoding="utf-8"?>
<worksheet xmlns="http://schemas.openxmlformats.org/spreadsheetml/2006/main">
  <sheetPr>
    <tabColor rgb="007030A0"/>
    <outlinePr summaryBelow="1" summaryRight="1"/>
    <pageSetUpPr fitToPage="1"/>
  </sheetPr>
  <dimension ref="B1:D50"/>
  <sheetViews>
    <sheetView showGridLines="0" workbookViewId="0">
      <pane ySplit="4" topLeftCell="A5" activePane="bottomLeft" state="frozen"/>
      <selection pane="bottomLeft" activeCell="A1" sqref="A1"/>
    </sheetView>
  </sheetViews>
  <sheetFormatPr baseColWidth="8" defaultRowHeight="15"/>
  <cols>
    <col width="2" customWidth="1" min="1" max="1"/>
    <col width="44" customWidth="1" min="2" max="2"/>
    <col width="16" customWidth="1" min="3" max="3"/>
    <col width="52" customWidth="1" min="4" max="4"/>
    <col width="2" customWidth="1" min="5" max="5"/>
  </cols>
  <sheetData>
    <row r="1"/>
    <row r="2" ht="32" customHeight="1">
      <c r="B2" s="21" t="inlineStr">
        <is>
          <t>Pensioengat Calculator</t>
        </is>
      </c>
      <c r="C2" s="1" t="n"/>
      <c r="D2" s="1" t="n"/>
    </row>
    <row r="3" ht="18" customHeight="1">
      <c r="B3" s="22" t="inlineStr">
        <is>
          <t>Hoeveel moet je maandelijks opzijzetten voor het pensioen dat je wilt?</t>
        </is>
      </c>
      <c r="C3" s="1" t="n"/>
      <c r="D3" s="1" t="n"/>
    </row>
    <row r="5" ht="20" customHeight="1">
      <c r="B5" s="31" t="inlineStr">
        <is>
          <t>◆  JOUW SITUATIE</t>
        </is>
      </c>
      <c r="C5" s="32" t="n"/>
      <c r="D5" s="32" t="n"/>
    </row>
    <row r="6" ht="17" customHeight="1">
      <c r="B6" s="45" t="inlineStr">
        <is>
          <t>Huidige leeftijd</t>
        </is>
      </c>
      <c r="C6" s="69" t="n">
        <v>38</v>
      </c>
      <c r="D6" s="55" t="n"/>
    </row>
    <row r="7" ht="17" customHeight="1">
      <c r="B7" s="48" t="inlineStr">
        <is>
          <t>Gewenste pensioenleeftijd</t>
        </is>
      </c>
      <c r="C7" s="70" t="n">
        <v>67</v>
      </c>
      <c r="D7" s="50" t="inlineStr">
        <is>
          <t>De AOW-leeftijd is nu 67 jaar en beweegt mee met de levensverwachting</t>
        </is>
      </c>
    </row>
    <row r="8" ht="17" customHeight="1">
      <c r="B8" s="48" t="inlineStr">
        <is>
          <t>Gewenst pensioeninkomen per maand</t>
        </is>
      </c>
      <c r="C8" s="49" t="n">
        <v>3500</v>
      </c>
      <c r="D8" s="50" t="inlineStr">
        <is>
          <t>In euro's van vandaag, netto besteedbaar</t>
        </is>
      </c>
    </row>
    <row r="9" ht="17" customHeight="1">
      <c r="B9" s="48" t="inlineStr">
        <is>
          <t>Verwachte AOW per maand</t>
        </is>
      </c>
      <c r="C9" s="49" t="n">
        <v>1500</v>
      </c>
      <c r="D9" s="50" t="inlineStr">
        <is>
          <t>Ca. € 1.050 alleenstaand, ca. € 750 p.p. samenwonend (netto, 2025)</t>
        </is>
      </c>
    </row>
    <row r="10" ht="17" customHeight="1">
      <c r="B10" s="48" t="inlineStr">
        <is>
          <t>Verwacht werkgeverspensioen per maand</t>
        </is>
      </c>
      <c r="C10" s="49" t="n">
        <v>700</v>
      </c>
      <c r="D10" s="50" t="inlineStr">
        <is>
          <t>Zie mijnpensioenoverzicht.nl</t>
        </is>
      </c>
    </row>
    <row r="11" ht="17" customHeight="1">
      <c r="B11" s="71" t="inlineStr">
        <is>
          <t>Huidig opgebouwd pensioenvermogen</t>
        </is>
      </c>
      <c r="C11" s="72" t="n">
        <v>30000</v>
      </c>
      <c r="D11" s="73" t="inlineStr">
        <is>
          <t>Lijfrente, banksparen, beleggingen bestemd voor pensioen</t>
        </is>
      </c>
    </row>
    <row r="13" ht="20" customHeight="1">
      <c r="B13" s="74" t="inlineStr">
        <is>
          <t>◆  KOPPELING MET CASHFLOW OVERZICHT</t>
        </is>
      </c>
      <c r="C13" s="13" t="n"/>
      <c r="D13" s="13" t="n"/>
    </row>
    <row r="14" ht="17" customHeight="1">
      <c r="B14" s="56" t="inlineStr">
        <is>
          <t>Voorstel: maandelijks overschot uit Cashflow Overzicht</t>
        </is>
      </c>
      <c r="C14" s="57">
        <f>'Cashflow Overzicht'!C40</f>
        <v/>
      </c>
      <c r="D14" s="47" t="inlineStr">
        <is>
          <t>Wordt automatisch bijgewerkt zodra je dat tabblad invult</t>
        </is>
      </c>
    </row>
    <row r="15" ht="17" customHeight="1">
      <c r="B15" s="48" t="inlineStr">
        <is>
          <t>Gebruik dit voorstel als je huidige pensioeninleg?</t>
        </is>
      </c>
      <c r="C15" s="75" t="inlineStr">
        <is>
          <t>Ja</t>
        </is>
      </c>
      <c r="D15" s="50" t="inlineStr">
        <is>
          <t>Kies 'Nee' om je eigen bedrag hieronder te gebruiken</t>
        </is>
      </c>
    </row>
    <row r="16" ht="17" customHeight="1">
      <c r="B16" s="48" t="inlineStr">
        <is>
          <t>Eigen invoer (alleen gebruikt bij 'Nee')</t>
        </is>
      </c>
      <c r="C16" s="49" t="n">
        <v>150</v>
      </c>
      <c r="D16" s="50" t="inlineStr">
        <is>
          <t>Vul hier je eigen maandelijkse pensioeninleg in</t>
        </is>
      </c>
    </row>
    <row r="17" ht="20" customHeight="1">
      <c r="B17" s="76" t="inlineStr">
        <is>
          <t>Wat leg je nu al maandelijks in?</t>
        </is>
      </c>
      <c r="C17" s="77">
        <f>IF(C15="Ja",C14,C16)</f>
        <v/>
      </c>
      <c r="D17" s="73" t="inlineStr">
        <is>
          <t>Gebruikt in de berekening hieronder</t>
        </is>
      </c>
    </row>
    <row r="19" ht="20" customHeight="1">
      <c r="B19" s="31" t="inlineStr">
        <is>
          <t>◆  AANNAMES</t>
        </is>
      </c>
      <c r="C19" s="32" t="n"/>
      <c r="D19" s="32" t="n"/>
    </row>
    <row r="20" ht="17" customHeight="1">
      <c r="B20" s="45" t="inlineStr">
        <is>
          <t>Verwacht rendement vóór pensioen (per jaar)</t>
        </is>
      </c>
      <c r="C20" s="78" t="n">
        <v>0.05</v>
      </c>
      <c r="D20" s="47" t="inlineStr">
        <is>
          <t>Historisch wereldwijd aandelenrendement ligt rond 6-7% nominaal</t>
        </is>
      </c>
    </row>
    <row r="21" ht="17" customHeight="1">
      <c r="B21" s="48" t="inlineStr">
        <is>
          <t>Verwacht rendement tijdens pensioen (per jaar)</t>
        </is>
      </c>
      <c r="C21" s="79" t="n">
        <v>0.03</v>
      </c>
      <c r="D21" s="50" t="inlineStr">
        <is>
          <t>Meestal lager: je bouwt risico af</t>
        </is>
      </c>
    </row>
    <row r="22" ht="17" customHeight="1">
      <c r="B22" s="48" t="inlineStr">
        <is>
          <t>Verwachte inflatie (per jaar)</t>
        </is>
      </c>
      <c r="C22" s="79" t="n">
        <v>0.02</v>
      </c>
      <c r="D22" s="50" t="inlineStr">
        <is>
          <t>Doelstelling van de ECB is 2%</t>
        </is>
      </c>
    </row>
    <row r="23" ht="17" customHeight="1">
      <c r="B23" s="71" t="inlineStr">
        <is>
          <t>Aantal jaren dat je pensioen moet duren</t>
        </is>
      </c>
      <c r="C23" s="80" t="n">
        <v>25</v>
      </c>
      <c r="D23" s="73" t="inlineStr">
        <is>
          <t>Levensverwachting bij 67 is ruim 18 jaar; 25 is voorzichtig</t>
        </is>
      </c>
    </row>
    <row r="25" ht="20" customHeight="1">
      <c r="B25" s="31" t="inlineStr">
        <is>
          <t>◆  HET PENSIOENGAT</t>
        </is>
      </c>
      <c r="C25" s="32" t="n"/>
      <c r="D25" s="32" t="n"/>
    </row>
    <row r="26" ht="17" customHeight="1">
      <c r="B26" s="56" t="inlineStr">
        <is>
          <t>Jaren tot je pensioen</t>
        </is>
      </c>
      <c r="C26" s="81">
        <f>MAX(0,C7-C6)</f>
        <v/>
      </c>
      <c r="D26" s="55" t="n"/>
    </row>
    <row r="27" ht="17" customHeight="1">
      <c r="B27" s="58" t="inlineStr">
        <is>
          <t>Maandelijks tekort in euro's van vandaag</t>
        </is>
      </c>
      <c r="C27" s="59">
        <f>MAX(0,C8-C9-C10)</f>
        <v/>
      </c>
      <c r="D27" s="50" t="inlineStr">
        <is>
          <t>Gewenst inkomen minus AOW en werkgeverspensioen</t>
        </is>
      </c>
    </row>
    <row r="28" ht="17" customHeight="1">
      <c r="B28" s="58" t="inlineStr">
        <is>
          <t>Maandelijks tekort bij pensionering</t>
        </is>
      </c>
      <c r="C28" s="59">
        <f>C27*(1+C22)^C26</f>
        <v/>
      </c>
      <c r="D28" s="50" t="inlineStr">
        <is>
          <t>Hetzelfde tekort, gecorrigeerd voor inflatie</t>
        </is>
      </c>
    </row>
    <row r="29" ht="17" customHeight="1">
      <c r="B29" s="58" t="inlineStr">
        <is>
          <t>Reëel rendement tijdens pensioen</t>
        </is>
      </c>
      <c r="C29" s="82">
        <f>(1+C21)/(1+C22)-1</f>
        <v/>
      </c>
      <c r="D29" s="50" t="inlineStr">
        <is>
          <t>Rendement minus inflatie; houdt je uitkering koopkrachtvast</t>
        </is>
      </c>
    </row>
    <row r="30" ht="20" customHeight="1">
      <c r="B30" s="83" t="inlineStr">
        <is>
          <t>Benodigd pensioenkapitaal bij pensionering</t>
        </is>
      </c>
      <c r="C30" s="84">
        <f>IF(ABS(C29)&lt;0.0001,C28*12*C23,C28*12*(1-(1+C29)^(-C23))/C29)</f>
        <v/>
      </c>
      <c r="D30" s="50" t="inlineStr">
        <is>
          <t>Contante waarde van het tekort over de hele pensioenperiode</t>
        </is>
      </c>
    </row>
    <row r="31" ht="17" customHeight="1">
      <c r="B31" s="58" t="inlineStr">
        <is>
          <t>Waarde van je huidige vermogen bij pensionering</t>
        </is>
      </c>
      <c r="C31" s="59">
        <f>C11*(1+C20)^C26</f>
        <v/>
      </c>
      <c r="D31" s="50" t="inlineStr">
        <is>
          <t>Je opgebouwde vermogen groeit door tot je pensioendatum</t>
        </is>
      </c>
    </row>
    <row r="32" ht="17" customHeight="1">
      <c r="B32" s="58" t="inlineStr">
        <is>
          <t>Waarde van je huidige maandinleg bij pensionering</t>
        </is>
      </c>
      <c r="C32" s="59">
        <f>IF(OR(C26=0,C20=0),C17*12*C26,C17*(((1+(1+C20)^(1/12)-1)^(C26*12)-1)/((1+C20)^(1/12)-1)))</f>
        <v/>
      </c>
      <c r="D32" s="50" t="inlineStr">
        <is>
          <t>Wat je huidige inleg oplevert als je die volhoudt</t>
        </is>
      </c>
    </row>
    <row r="33" ht="34" customHeight="1">
      <c r="B33" s="85" t="inlineStr">
        <is>
          <t>PENSIOENGAT (tekort aan kapitaal)</t>
        </is>
      </c>
      <c r="C33" s="86">
        <f>MAX(0,C30-C31-C32)</f>
        <v/>
      </c>
      <c r="D33" s="73" t="inlineStr">
        <is>
          <t>Nul betekent: je ligt op koers</t>
        </is>
      </c>
    </row>
    <row r="35" ht="20" customHeight="1">
      <c r="B35" s="31" t="inlineStr">
        <is>
          <t>◆  WAT MOET JE DOEN?</t>
        </is>
      </c>
      <c r="C35" s="32" t="n"/>
      <c r="D35" s="32" t="n"/>
    </row>
    <row r="36" ht="17" customHeight="1">
      <c r="B36" s="56" t="inlineStr">
        <is>
          <t>Maandelijks rendement (samengesteld)</t>
        </is>
      </c>
      <c r="C36" s="87">
        <f>(1+C20)^(1/12)-1</f>
        <v/>
      </c>
      <c r="D36" s="47" t="inlineStr">
        <is>
          <t>Jaarrendement omgerekend naar maandbasis</t>
        </is>
      </c>
    </row>
    <row r="37" ht="20" customHeight="1">
      <c r="B37" s="83" t="inlineStr">
        <is>
          <t>Extra maandelijks sparen of beleggen</t>
        </is>
      </c>
      <c r="C37" s="84">
        <f>IF(C26&lt;=0,"",IF(C33&lt;=0,0,IF(C36=0,C33/(C26*12),C33*C36/((1+C36)^(C26*12)-1))))</f>
        <v/>
      </c>
      <c r="D37" s="50" t="inlineStr">
        <is>
          <t>Bovenop wat je nu al inlegt</t>
        </is>
      </c>
    </row>
    <row r="38" ht="17" customHeight="1">
      <c r="B38" s="58" t="inlineStr">
        <is>
          <t>Totale maandelijkse inleg vanaf nu</t>
        </is>
      </c>
      <c r="C38" s="59">
        <f>IF(C37="","",C17+C37)</f>
        <v/>
      </c>
      <c r="D38" s="50" t="inlineStr">
        <is>
          <t>Je huidige inleg plus het extra bedrag</t>
        </is>
      </c>
    </row>
    <row r="39" ht="17" customHeight="1">
      <c r="B39" s="58" t="inlineStr">
        <is>
          <t>Totaal dat je zelf inlegt tot pensioendatum</t>
        </is>
      </c>
      <c r="C39" s="59">
        <f>IF(C38="","",C38*12*C26)</f>
        <v/>
      </c>
      <c r="D39" s="50" t="inlineStr">
        <is>
          <t>Zonder rendement, alleen je eigen geld</t>
        </is>
      </c>
    </row>
    <row r="40" ht="17" customHeight="1">
      <c r="B40" s="52" t="inlineStr">
        <is>
          <t>Dekkingsgraad zonder extra inleg</t>
        </is>
      </c>
      <c r="C40" s="88">
        <f>IF(C30&lt;=0,"",(C31+C32)/C30)</f>
        <v/>
      </c>
      <c r="D40" s="73" t="inlineStr">
        <is>
          <t>100% = je huidige plan is toereikend</t>
        </is>
      </c>
    </row>
    <row r="42">
      <c r="B42" s="34" t="inlineStr">
        <is>
          <t>Hoe deze berekening werkt</t>
        </is>
      </c>
    </row>
    <row r="43">
      <c r="B43" s="33" t="inlineStr">
        <is>
          <t>• Je maandelijkse inleg is gekoppeld aan je overschot in 'Cashflow Overzicht'; kies 'Nee' bij de koppeling hierboven om je eigen bedrag te gebruiken.</t>
        </is>
      </c>
    </row>
    <row r="44">
      <c r="B44" s="33" t="inlineStr">
        <is>
          <t>• Je gewenste inkomen wordt met de inflatie opgehoogd naar je pensioendatum.</t>
        </is>
      </c>
    </row>
    <row r="45">
      <c r="B45" s="33" t="inlineStr">
        <is>
          <t>• Het benodigde kapitaal is de contante waarde van je maandelijkse tekort over de hele pensioenperiode,</t>
        </is>
      </c>
    </row>
    <row r="46">
      <c r="B46" s="33" t="inlineStr">
        <is>
          <t xml:space="preserve">   verdisconteerd tegen het reële rendement, zodat je uitkering koopkrachtvast blijft.</t>
        </is>
      </c>
    </row>
    <row r="47">
      <c r="B47" s="33" t="inlineStr">
        <is>
          <t>• De benodigde inleg volgt uit de standaardformule voor samengestelde rente met periodieke stortingen.</t>
        </is>
      </c>
    </row>
    <row r="48">
      <c r="B48" s="33" t="inlineStr">
        <is>
          <t>• Belastingvoordeel op lijfrente-inleg (jaarruimte) is niet meegerekend; in de praktijk kan de netto inleg lager uitvallen.</t>
        </is>
      </c>
    </row>
    <row r="49">
      <c r="B49" s="33" t="inlineStr"/>
    </row>
    <row r="50">
      <c r="B50" s="33" t="inlineStr">
        <is>
          <t>Deze tool is uitsluitend bedoeld voor informatieve doeleinden en biedt geen financieel advies. Uitkomsten zijn schattingen op basis van je eigen aannames.</t>
        </is>
      </c>
    </row>
  </sheetData>
  <sheetProtection selectLockedCells="0" selectUnlockedCells="0" sheet="1" objects="0" insertRows="1" insertHyperlinks="1" autoFilter="1" scenarios="0" formatColumns="1" deleteColumns="1" insertColumns="1" pivotTables="1" deleteRows="1" formatCells="1" formatRows="1" sort="1"/>
  <mergeCells count="16">
    <mergeCell ref="B42:D42"/>
    <mergeCell ref="B3:D3"/>
    <mergeCell ref="B19:D19"/>
    <mergeCell ref="B5:D5"/>
    <mergeCell ref="B45:D45"/>
    <mergeCell ref="B46:D46"/>
    <mergeCell ref="B48:D48"/>
    <mergeCell ref="B35:D35"/>
    <mergeCell ref="B49:D49"/>
    <mergeCell ref="B50:D50"/>
    <mergeCell ref="B13:D13"/>
    <mergeCell ref="B44:D44"/>
    <mergeCell ref="B43:D43"/>
    <mergeCell ref="B25:D25"/>
    <mergeCell ref="B47:D47"/>
    <mergeCell ref="B2:D2"/>
  </mergeCells>
  <conditionalFormatting sqref="C33">
    <cfRule type="cellIs" priority="1" operator="greaterThan" dxfId="6">
      <formula>0</formula>
    </cfRule>
    <cfRule type="cellIs" priority="2" operator="lessThanOrEqual" dxfId="5">
      <formula>0</formula>
    </cfRule>
  </conditionalFormatting>
  <dataValidations count="1">
    <dataValidation sqref="C15" showDropDown="0" showInputMessage="0" showErrorMessage="0" allowBlank="0" errorTitle="Ongeldige invoer" error="Kies Ja of Nee." type="list">
      <formula1>"Ja,Nee"</formula1>
    </dataValidation>
  </dataValidations>
  <pageMargins left="0.75" right="0.75" top="1" bottom="1" header="0.5" footer="0.5"/>
  <pageSetup orientation="portrait" fitToHeight="0" fitToWidth="1"/>
</worksheet>
</file>

<file path=xl/worksheets/sheet6.xml><?xml version="1.0" encoding="utf-8"?>
<worksheet xmlns="http://schemas.openxmlformats.org/spreadsheetml/2006/main">
  <sheetPr>
    <tabColor rgb="00BF8F00"/>
    <outlinePr summaryBelow="1" summaryRight="1"/>
    <pageSetUpPr fitToPage="1"/>
  </sheetPr>
  <dimension ref="B1:L74"/>
  <sheetViews>
    <sheetView showGridLines="0" workbookViewId="0">
      <pane ySplit="4" topLeftCell="A5" activePane="bottomLeft" state="frozen"/>
      <selection pane="bottomLeft" activeCell="A1" sqref="A1"/>
    </sheetView>
  </sheetViews>
  <sheetFormatPr baseColWidth="8" defaultRowHeight="15"/>
  <cols>
    <col width="2" customWidth="1" min="1" max="1"/>
    <col width="40" customWidth="1" min="2" max="2"/>
    <col width="16" customWidth="1" min="3" max="3"/>
    <col width="46" customWidth="1" min="4" max="4"/>
    <col width="2" customWidth="1" min="5" max="5"/>
    <col width="8" customWidth="1" min="6" max="6"/>
    <col width="15" customWidth="1" min="7" max="7"/>
    <col width="15" customWidth="1" min="8" max="8"/>
    <col width="15" customWidth="1" min="9" max="9"/>
    <col width="15" customWidth="1" min="10" max="10"/>
    <col width="15" customWidth="1" min="11" max="11"/>
    <col width="15" customWidth="1" min="12" max="12"/>
  </cols>
  <sheetData>
    <row r="1"/>
    <row r="2" ht="32" customHeight="1">
      <c r="B2" s="21" t="inlineStr">
        <is>
          <t>Vermogensgroei</t>
        </is>
      </c>
      <c r="C2" s="1" t="n"/>
      <c r="D2" s="1" t="n"/>
    </row>
    <row r="3" ht="18" customHeight="1">
      <c r="B3" s="22" t="inlineStr">
        <is>
          <t>Projectie van je vermogen met samengestelde rente</t>
        </is>
      </c>
      <c r="C3" s="1" t="n"/>
      <c r="D3" s="1" t="n"/>
    </row>
    <row r="5" ht="20" customHeight="1">
      <c r="B5" s="74" t="inlineStr">
        <is>
          <t>◆  KOPPELING MET CASHFLOW OVERZICHT</t>
        </is>
      </c>
      <c r="C5" s="13" t="n"/>
      <c r="D5" s="13" t="n"/>
    </row>
    <row r="6" ht="17" customHeight="1">
      <c r="B6" s="56" t="inlineStr">
        <is>
          <t>Voorstel: maandelijks overschot uit Cashflow Overzicht</t>
        </is>
      </c>
      <c r="C6" s="57">
        <f>'Cashflow Overzicht'!C40</f>
        <v/>
      </c>
      <c r="D6" s="47" t="inlineStr">
        <is>
          <t>Wordt automatisch bijgewerkt zodra je dat tabblad invult</t>
        </is>
      </c>
    </row>
    <row r="7" ht="17" customHeight="1">
      <c r="B7" s="48" t="inlineStr">
        <is>
          <t>Gebruik dit voorstel als maandelijkse inleg?</t>
        </is>
      </c>
      <c r="C7" s="75" t="inlineStr">
        <is>
          <t>Ja</t>
        </is>
      </c>
      <c r="D7" s="50" t="inlineStr">
        <is>
          <t>Kies 'Nee' om je eigen bedrag hieronder te gebruiken</t>
        </is>
      </c>
    </row>
    <row r="8" ht="17" customHeight="1">
      <c r="B8" s="71" t="inlineStr">
        <is>
          <t>Eigen invoer (alleen gebruikt bij 'Nee')</t>
        </is>
      </c>
      <c r="C8" s="72" t="n">
        <v>500</v>
      </c>
      <c r="D8" s="73" t="inlineStr">
        <is>
          <t>Vul hier je eigen maandelijkse inleg in</t>
        </is>
      </c>
    </row>
    <row r="10" ht="20" customHeight="1">
      <c r="B10" s="31" t="inlineStr">
        <is>
          <t>◆  JOUW INVOER</t>
        </is>
      </c>
      <c r="C10" s="32" t="n"/>
      <c r="D10" s="32" t="n"/>
    </row>
    <row r="11" ht="17" customHeight="1">
      <c r="B11" s="45" t="inlineStr">
        <is>
          <t>Huidig spaargeld en beleggingen</t>
        </is>
      </c>
      <c r="C11" s="46" t="n">
        <v>25000</v>
      </c>
      <c r="D11" s="47" t="inlineStr">
        <is>
          <t>Je startkapitaal</t>
        </is>
      </c>
    </row>
    <row r="12" ht="20" customHeight="1">
      <c r="B12" s="83" t="inlineStr">
        <is>
          <t>Maandelijkse inleg (gebruikt in de projectie)</t>
        </is>
      </c>
      <c r="C12" s="84">
        <f>IF(C7="Ja",C6,C8)</f>
        <v/>
      </c>
      <c r="D12" s="50" t="inlineStr">
        <is>
          <t>Volgt automatisch uit de koppeling hierboven</t>
        </is>
      </c>
    </row>
    <row r="13" ht="17" customHeight="1">
      <c r="B13" s="48" t="inlineStr">
        <is>
          <t>Verwacht rendement per jaar</t>
        </is>
      </c>
      <c r="C13" s="79" t="n">
        <v>0.06</v>
      </c>
      <c r="D13" s="50" t="inlineStr">
        <is>
          <t>Spaarrekening ca. 1,5-2%, wereldwijd aandelenfonds historisch ca. 7%</t>
        </is>
      </c>
    </row>
    <row r="14" ht="17" customHeight="1">
      <c r="B14" s="48" t="inlineStr">
        <is>
          <t>Aantal jaren</t>
        </is>
      </c>
      <c r="C14" s="70" t="n">
        <v>25</v>
      </c>
      <c r="D14" s="50" t="inlineStr">
        <is>
          <t>Maximaal 40 jaar</t>
        </is>
      </c>
    </row>
    <row r="15" ht="17" customHeight="1">
      <c r="B15" s="48" t="inlineStr">
        <is>
          <t>Verwachte inflatie per jaar</t>
        </is>
      </c>
      <c r="C15" s="79" t="n">
        <v>0.02</v>
      </c>
      <c r="D15" s="50" t="inlineStr">
        <is>
          <t>Voor de koopkracht-kolom in de tabel</t>
        </is>
      </c>
    </row>
    <row r="16" ht="17" customHeight="1">
      <c r="B16" s="71" t="inlineStr">
        <is>
          <t>Beleggingskosten per jaar</t>
        </is>
      </c>
      <c r="C16" s="89" t="n">
        <v>0.0035</v>
      </c>
      <c r="D16" s="73" t="inlineStr">
        <is>
          <t>Fondskosten plus servicekosten van je broker</t>
        </is>
      </c>
    </row>
    <row r="18" ht="20" customHeight="1">
      <c r="B18" s="31" t="inlineStr">
        <is>
          <t>◆  AFGELEIDE WAARDEN</t>
        </is>
      </c>
      <c r="C18" s="32" t="n"/>
      <c r="D18" s="32" t="n"/>
    </row>
    <row r="19" ht="17" customHeight="1">
      <c r="B19" s="56" t="inlineStr">
        <is>
          <t>Netto rendement na kosten</t>
        </is>
      </c>
      <c r="C19" s="90">
        <f>C13-C16</f>
        <v/>
      </c>
      <c r="D19" s="47" t="inlineStr">
        <is>
          <t>Wordt in de projectie gebruikt</t>
        </is>
      </c>
    </row>
    <row r="20" ht="17" customHeight="1">
      <c r="B20" s="52" t="inlineStr">
        <is>
          <t>Maandelijks rendement (samengesteld)</t>
        </is>
      </c>
      <c r="C20" s="91">
        <f>(1+C19)^(1/12)-1</f>
        <v/>
      </c>
      <c r="D20" s="54" t="n"/>
    </row>
    <row r="22" ht="20" customHeight="1">
      <c r="B22" s="31" t="inlineStr">
        <is>
          <t>◆  RESULTAAT NA DE GEKOZEN LOOPTIJD</t>
        </is>
      </c>
      <c r="C22" s="32" t="n"/>
      <c r="D22" s="32" t="n"/>
    </row>
    <row r="23" ht="34" customHeight="1">
      <c r="B23" s="92" t="inlineStr">
        <is>
          <t>Geprojecteerde eindwaarde</t>
        </is>
      </c>
      <c r="C23" s="93">
        <f>INDEX(J30:J70,C14+1)</f>
        <v/>
      </c>
      <c r="D23" s="55" t="n"/>
    </row>
    <row r="24" ht="17" customHeight="1">
      <c r="B24" s="58" t="inlineStr">
        <is>
          <t>Totaal zelf ingelegd</t>
        </is>
      </c>
      <c r="C24" s="59">
        <f>INDEX(K30:K70,C14+1)</f>
        <v/>
      </c>
      <c r="D24" s="51" t="n"/>
    </row>
    <row r="25" ht="17" customHeight="1">
      <c r="B25" s="58" t="inlineStr">
        <is>
          <t>Waarvan rendement</t>
        </is>
      </c>
      <c r="C25" s="59">
        <f>C23-C24</f>
        <v/>
      </c>
      <c r="D25" s="50" t="inlineStr">
        <is>
          <t>Het deel dat je geld voor je heeft verdiend</t>
        </is>
      </c>
    </row>
    <row r="26" ht="17" customHeight="1">
      <c r="B26" s="52" t="inlineStr">
        <is>
          <t>Eindwaarde in euro's van nu</t>
        </is>
      </c>
      <c r="C26" s="53">
        <f>INDEX(L30:L70,C14+1)</f>
        <v/>
      </c>
      <c r="D26" s="73" t="inlineStr">
        <is>
          <t>Gecorrigeerd voor inflatie: dit is je koopkracht</t>
        </is>
      </c>
    </row>
    <row r="29" ht="30" customHeight="1">
      <c r="F29" s="94" t="inlineStr">
        <is>
          <t>Jaar</t>
        </is>
      </c>
      <c r="G29" s="94" t="inlineStr">
        <is>
          <t>Beginwaarde</t>
        </is>
      </c>
      <c r="H29" s="94" t="inlineStr">
        <is>
          <t>Inleg dit jaar</t>
        </is>
      </c>
      <c r="I29" s="94" t="inlineStr">
        <is>
          <t>Rendement</t>
        </is>
      </c>
      <c r="J29" s="94" t="inlineStr">
        <is>
          <t>Eindwaarde</t>
        </is>
      </c>
      <c r="K29" s="94" t="inlineStr">
        <is>
          <t>Totaal ingelegd</t>
        </is>
      </c>
      <c r="L29" s="94" t="inlineStr">
        <is>
          <t>Waarde in euro's van nu</t>
        </is>
      </c>
    </row>
    <row r="30">
      <c r="F30" s="95">
        <f>IF(C$14&gt;=0,0,NA())</f>
        <v/>
      </c>
      <c r="G30" s="96">
        <f>IF(C$14&gt;=0,C$11,NA())</f>
        <v/>
      </c>
      <c r="H30" s="96">
        <f>IF(C$14&gt;=0,0,NA())</f>
        <v/>
      </c>
      <c r="I30" s="96">
        <f>IF(C$14&gt;=0,0,NA())</f>
        <v/>
      </c>
      <c r="J30" s="96">
        <f>IF(C$14&gt;=0,C$11,NA())</f>
        <v/>
      </c>
      <c r="K30" s="96">
        <f>IF(C$14&gt;=0,C$11,NA())</f>
        <v/>
      </c>
      <c r="L30" s="96">
        <f>IF(C$14&gt;=0,J30/(1+C$15)^0,NA())</f>
        <v/>
      </c>
    </row>
    <row r="31">
      <c r="F31" s="95">
        <f>IF(C$14&gt;=1,1,NA())</f>
        <v/>
      </c>
      <c r="G31" s="96">
        <f>IF(C$14&gt;=1,J30,NA())</f>
        <v/>
      </c>
      <c r="H31" s="96">
        <f>IF(C$14&gt;=1,C$12*12,NA())</f>
        <v/>
      </c>
      <c r="I31" s="96">
        <f>IF(C$14&gt;=1,J31-G31-H31,NA())</f>
        <v/>
      </c>
      <c r="J31" s="96">
        <f>IF(C$14&gt;=1,G31*(1+C$19)+IF(C$20=0,C$12*12,C$12*((1+C$20)^12-1)/C$20),NA())</f>
        <v/>
      </c>
      <c r="K31" s="96">
        <f>IF(C$14&gt;=1,K30+H31,NA())</f>
        <v/>
      </c>
      <c r="L31" s="96">
        <f>IF(C$14&gt;=1,J31/(1+C$15)^1,NA())</f>
        <v/>
      </c>
    </row>
    <row r="32">
      <c r="F32" s="95">
        <f>IF(C$14&gt;=2,2,NA())</f>
        <v/>
      </c>
      <c r="G32" s="96">
        <f>IF(C$14&gt;=2,J31,NA())</f>
        <v/>
      </c>
      <c r="H32" s="96">
        <f>IF(C$14&gt;=2,C$12*12,NA())</f>
        <v/>
      </c>
      <c r="I32" s="96">
        <f>IF(C$14&gt;=2,J32-G32-H32,NA())</f>
        <v/>
      </c>
      <c r="J32" s="96">
        <f>IF(C$14&gt;=2,G32*(1+C$19)+IF(C$20=0,C$12*12,C$12*((1+C$20)^12-1)/C$20),NA())</f>
        <v/>
      </c>
      <c r="K32" s="96">
        <f>IF(C$14&gt;=2,K31+H32,NA())</f>
        <v/>
      </c>
      <c r="L32" s="96">
        <f>IF(C$14&gt;=2,J32/(1+C$15)^2,NA())</f>
        <v/>
      </c>
    </row>
    <row r="33">
      <c r="F33" s="95">
        <f>IF(C$14&gt;=3,3,NA())</f>
        <v/>
      </c>
      <c r="G33" s="96">
        <f>IF(C$14&gt;=3,J32,NA())</f>
        <v/>
      </c>
      <c r="H33" s="96">
        <f>IF(C$14&gt;=3,C$12*12,NA())</f>
        <v/>
      </c>
      <c r="I33" s="96">
        <f>IF(C$14&gt;=3,J33-G33-H33,NA())</f>
        <v/>
      </c>
      <c r="J33" s="96">
        <f>IF(C$14&gt;=3,G33*(1+C$19)+IF(C$20=0,C$12*12,C$12*((1+C$20)^12-1)/C$20),NA())</f>
        <v/>
      </c>
      <c r="K33" s="96">
        <f>IF(C$14&gt;=3,K32+H33,NA())</f>
        <v/>
      </c>
      <c r="L33" s="96">
        <f>IF(C$14&gt;=3,J33/(1+C$15)^3,NA())</f>
        <v/>
      </c>
    </row>
    <row r="34">
      <c r="F34" s="95">
        <f>IF(C$14&gt;=4,4,NA())</f>
        <v/>
      </c>
      <c r="G34" s="96">
        <f>IF(C$14&gt;=4,J33,NA())</f>
        <v/>
      </c>
      <c r="H34" s="96">
        <f>IF(C$14&gt;=4,C$12*12,NA())</f>
        <v/>
      </c>
      <c r="I34" s="96">
        <f>IF(C$14&gt;=4,J34-G34-H34,NA())</f>
        <v/>
      </c>
      <c r="J34" s="96">
        <f>IF(C$14&gt;=4,G34*(1+C$19)+IF(C$20=0,C$12*12,C$12*((1+C$20)^12-1)/C$20),NA())</f>
        <v/>
      </c>
      <c r="K34" s="96">
        <f>IF(C$14&gt;=4,K33+H34,NA())</f>
        <v/>
      </c>
      <c r="L34" s="96">
        <f>IF(C$14&gt;=4,J34/(1+C$15)^4,NA())</f>
        <v/>
      </c>
    </row>
    <row r="35">
      <c r="F35" s="95">
        <f>IF(C$14&gt;=5,5,NA())</f>
        <v/>
      </c>
      <c r="G35" s="96">
        <f>IF(C$14&gt;=5,J34,NA())</f>
        <v/>
      </c>
      <c r="H35" s="96">
        <f>IF(C$14&gt;=5,C$12*12,NA())</f>
        <v/>
      </c>
      <c r="I35" s="96">
        <f>IF(C$14&gt;=5,J35-G35-H35,NA())</f>
        <v/>
      </c>
      <c r="J35" s="96">
        <f>IF(C$14&gt;=5,G35*(1+C$19)+IF(C$20=0,C$12*12,C$12*((1+C$20)^12-1)/C$20),NA())</f>
        <v/>
      </c>
      <c r="K35" s="96">
        <f>IF(C$14&gt;=5,K34+H35,NA())</f>
        <v/>
      </c>
      <c r="L35" s="96">
        <f>IF(C$14&gt;=5,J35/(1+C$15)^5,NA())</f>
        <v/>
      </c>
    </row>
    <row r="36">
      <c r="F36" s="95">
        <f>IF(C$14&gt;=6,6,NA())</f>
        <v/>
      </c>
      <c r="G36" s="96">
        <f>IF(C$14&gt;=6,J35,NA())</f>
        <v/>
      </c>
      <c r="H36" s="96">
        <f>IF(C$14&gt;=6,C$12*12,NA())</f>
        <v/>
      </c>
      <c r="I36" s="96">
        <f>IF(C$14&gt;=6,J36-G36-H36,NA())</f>
        <v/>
      </c>
      <c r="J36" s="96">
        <f>IF(C$14&gt;=6,G36*(1+C$19)+IF(C$20=0,C$12*12,C$12*((1+C$20)^12-1)/C$20),NA())</f>
        <v/>
      </c>
      <c r="K36" s="96">
        <f>IF(C$14&gt;=6,K35+H36,NA())</f>
        <v/>
      </c>
      <c r="L36" s="96">
        <f>IF(C$14&gt;=6,J36/(1+C$15)^6,NA())</f>
        <v/>
      </c>
    </row>
    <row r="37">
      <c r="F37" s="95">
        <f>IF(C$14&gt;=7,7,NA())</f>
        <v/>
      </c>
      <c r="G37" s="96">
        <f>IF(C$14&gt;=7,J36,NA())</f>
        <v/>
      </c>
      <c r="H37" s="96">
        <f>IF(C$14&gt;=7,C$12*12,NA())</f>
        <v/>
      </c>
      <c r="I37" s="96">
        <f>IF(C$14&gt;=7,J37-G37-H37,NA())</f>
        <v/>
      </c>
      <c r="J37" s="96">
        <f>IF(C$14&gt;=7,G37*(1+C$19)+IF(C$20=0,C$12*12,C$12*((1+C$20)^12-1)/C$20),NA())</f>
        <v/>
      </c>
      <c r="K37" s="96">
        <f>IF(C$14&gt;=7,K36+H37,NA())</f>
        <v/>
      </c>
      <c r="L37" s="96">
        <f>IF(C$14&gt;=7,J37/(1+C$15)^7,NA())</f>
        <v/>
      </c>
    </row>
    <row r="38">
      <c r="F38" s="95">
        <f>IF(C$14&gt;=8,8,NA())</f>
        <v/>
      </c>
      <c r="G38" s="96">
        <f>IF(C$14&gt;=8,J37,NA())</f>
        <v/>
      </c>
      <c r="H38" s="96">
        <f>IF(C$14&gt;=8,C$12*12,NA())</f>
        <v/>
      </c>
      <c r="I38" s="96">
        <f>IF(C$14&gt;=8,J38-G38-H38,NA())</f>
        <v/>
      </c>
      <c r="J38" s="96">
        <f>IF(C$14&gt;=8,G38*(1+C$19)+IF(C$20=0,C$12*12,C$12*((1+C$20)^12-1)/C$20),NA())</f>
        <v/>
      </c>
      <c r="K38" s="96">
        <f>IF(C$14&gt;=8,K37+H38,NA())</f>
        <v/>
      </c>
      <c r="L38" s="96">
        <f>IF(C$14&gt;=8,J38/(1+C$15)^8,NA())</f>
        <v/>
      </c>
    </row>
    <row r="39">
      <c r="F39" s="95">
        <f>IF(C$14&gt;=9,9,NA())</f>
        <v/>
      </c>
      <c r="G39" s="96">
        <f>IF(C$14&gt;=9,J38,NA())</f>
        <v/>
      </c>
      <c r="H39" s="96">
        <f>IF(C$14&gt;=9,C$12*12,NA())</f>
        <v/>
      </c>
      <c r="I39" s="96">
        <f>IF(C$14&gt;=9,J39-G39-H39,NA())</f>
        <v/>
      </c>
      <c r="J39" s="96">
        <f>IF(C$14&gt;=9,G39*(1+C$19)+IF(C$20=0,C$12*12,C$12*((1+C$20)^12-1)/C$20),NA())</f>
        <v/>
      </c>
      <c r="K39" s="96">
        <f>IF(C$14&gt;=9,K38+H39,NA())</f>
        <v/>
      </c>
      <c r="L39" s="96">
        <f>IF(C$14&gt;=9,J39/(1+C$15)^9,NA())</f>
        <v/>
      </c>
    </row>
    <row r="40">
      <c r="F40" s="95">
        <f>IF(C$14&gt;=10,10,NA())</f>
        <v/>
      </c>
      <c r="G40" s="96">
        <f>IF(C$14&gt;=10,J39,NA())</f>
        <v/>
      </c>
      <c r="H40" s="96">
        <f>IF(C$14&gt;=10,C$12*12,NA())</f>
        <v/>
      </c>
      <c r="I40" s="96">
        <f>IF(C$14&gt;=10,J40-G40-H40,NA())</f>
        <v/>
      </c>
      <c r="J40" s="96">
        <f>IF(C$14&gt;=10,G40*(1+C$19)+IF(C$20=0,C$12*12,C$12*((1+C$20)^12-1)/C$20),NA())</f>
        <v/>
      </c>
      <c r="K40" s="96">
        <f>IF(C$14&gt;=10,K39+H40,NA())</f>
        <v/>
      </c>
      <c r="L40" s="96">
        <f>IF(C$14&gt;=10,J40/(1+C$15)^10,NA())</f>
        <v/>
      </c>
    </row>
    <row r="41">
      <c r="F41" s="95">
        <f>IF(C$14&gt;=11,11,NA())</f>
        <v/>
      </c>
      <c r="G41" s="96">
        <f>IF(C$14&gt;=11,J40,NA())</f>
        <v/>
      </c>
      <c r="H41" s="96">
        <f>IF(C$14&gt;=11,C$12*12,NA())</f>
        <v/>
      </c>
      <c r="I41" s="96">
        <f>IF(C$14&gt;=11,J41-G41-H41,NA())</f>
        <v/>
      </c>
      <c r="J41" s="96">
        <f>IF(C$14&gt;=11,G41*(1+C$19)+IF(C$20=0,C$12*12,C$12*((1+C$20)^12-1)/C$20),NA())</f>
        <v/>
      </c>
      <c r="K41" s="96">
        <f>IF(C$14&gt;=11,K40+H41,NA())</f>
        <v/>
      </c>
      <c r="L41" s="96">
        <f>IF(C$14&gt;=11,J41/(1+C$15)^11,NA())</f>
        <v/>
      </c>
    </row>
    <row r="42">
      <c r="F42" s="95">
        <f>IF(C$14&gt;=12,12,NA())</f>
        <v/>
      </c>
      <c r="G42" s="96">
        <f>IF(C$14&gt;=12,J41,NA())</f>
        <v/>
      </c>
      <c r="H42" s="96">
        <f>IF(C$14&gt;=12,C$12*12,NA())</f>
        <v/>
      </c>
      <c r="I42" s="96">
        <f>IF(C$14&gt;=12,J42-G42-H42,NA())</f>
        <v/>
      </c>
      <c r="J42" s="96">
        <f>IF(C$14&gt;=12,G42*(1+C$19)+IF(C$20=0,C$12*12,C$12*((1+C$20)^12-1)/C$20),NA())</f>
        <v/>
      </c>
      <c r="K42" s="96">
        <f>IF(C$14&gt;=12,K41+H42,NA())</f>
        <v/>
      </c>
      <c r="L42" s="96">
        <f>IF(C$14&gt;=12,J42/(1+C$15)^12,NA())</f>
        <v/>
      </c>
    </row>
    <row r="43">
      <c r="F43" s="95">
        <f>IF(C$14&gt;=13,13,NA())</f>
        <v/>
      </c>
      <c r="G43" s="96">
        <f>IF(C$14&gt;=13,J42,NA())</f>
        <v/>
      </c>
      <c r="H43" s="96">
        <f>IF(C$14&gt;=13,C$12*12,NA())</f>
        <v/>
      </c>
      <c r="I43" s="96">
        <f>IF(C$14&gt;=13,J43-G43-H43,NA())</f>
        <v/>
      </c>
      <c r="J43" s="96">
        <f>IF(C$14&gt;=13,G43*(1+C$19)+IF(C$20=0,C$12*12,C$12*((1+C$20)^12-1)/C$20),NA())</f>
        <v/>
      </c>
      <c r="K43" s="96">
        <f>IF(C$14&gt;=13,K42+H43,NA())</f>
        <v/>
      </c>
      <c r="L43" s="96">
        <f>IF(C$14&gt;=13,J43/(1+C$15)^13,NA())</f>
        <v/>
      </c>
    </row>
    <row r="44">
      <c r="F44" s="95">
        <f>IF(C$14&gt;=14,14,NA())</f>
        <v/>
      </c>
      <c r="G44" s="96">
        <f>IF(C$14&gt;=14,J43,NA())</f>
        <v/>
      </c>
      <c r="H44" s="96">
        <f>IF(C$14&gt;=14,C$12*12,NA())</f>
        <v/>
      </c>
      <c r="I44" s="96">
        <f>IF(C$14&gt;=14,J44-G44-H44,NA())</f>
        <v/>
      </c>
      <c r="J44" s="96">
        <f>IF(C$14&gt;=14,G44*(1+C$19)+IF(C$20=0,C$12*12,C$12*((1+C$20)^12-1)/C$20),NA())</f>
        <v/>
      </c>
      <c r="K44" s="96">
        <f>IF(C$14&gt;=14,K43+H44,NA())</f>
        <v/>
      </c>
      <c r="L44" s="96">
        <f>IF(C$14&gt;=14,J44/(1+C$15)^14,NA())</f>
        <v/>
      </c>
    </row>
    <row r="45">
      <c r="F45" s="95">
        <f>IF(C$14&gt;=15,15,NA())</f>
        <v/>
      </c>
      <c r="G45" s="96">
        <f>IF(C$14&gt;=15,J44,NA())</f>
        <v/>
      </c>
      <c r="H45" s="96">
        <f>IF(C$14&gt;=15,C$12*12,NA())</f>
        <v/>
      </c>
      <c r="I45" s="96">
        <f>IF(C$14&gt;=15,J45-G45-H45,NA())</f>
        <v/>
      </c>
      <c r="J45" s="96">
        <f>IF(C$14&gt;=15,G45*(1+C$19)+IF(C$20=0,C$12*12,C$12*((1+C$20)^12-1)/C$20),NA())</f>
        <v/>
      </c>
      <c r="K45" s="96">
        <f>IF(C$14&gt;=15,K44+H45,NA())</f>
        <v/>
      </c>
      <c r="L45" s="96">
        <f>IF(C$14&gt;=15,J45/(1+C$15)^15,NA())</f>
        <v/>
      </c>
    </row>
    <row r="46">
      <c r="F46" s="95">
        <f>IF(C$14&gt;=16,16,NA())</f>
        <v/>
      </c>
      <c r="G46" s="96">
        <f>IF(C$14&gt;=16,J45,NA())</f>
        <v/>
      </c>
      <c r="H46" s="96">
        <f>IF(C$14&gt;=16,C$12*12,NA())</f>
        <v/>
      </c>
      <c r="I46" s="96">
        <f>IF(C$14&gt;=16,J46-G46-H46,NA())</f>
        <v/>
      </c>
      <c r="J46" s="96">
        <f>IF(C$14&gt;=16,G46*(1+C$19)+IF(C$20=0,C$12*12,C$12*((1+C$20)^12-1)/C$20),NA())</f>
        <v/>
      </c>
      <c r="K46" s="96">
        <f>IF(C$14&gt;=16,K45+H46,NA())</f>
        <v/>
      </c>
      <c r="L46" s="96">
        <f>IF(C$14&gt;=16,J46/(1+C$15)^16,NA())</f>
        <v/>
      </c>
    </row>
    <row r="47">
      <c r="F47" s="95">
        <f>IF(C$14&gt;=17,17,NA())</f>
        <v/>
      </c>
      <c r="G47" s="96">
        <f>IF(C$14&gt;=17,J46,NA())</f>
        <v/>
      </c>
      <c r="H47" s="96">
        <f>IF(C$14&gt;=17,C$12*12,NA())</f>
        <v/>
      </c>
      <c r="I47" s="96">
        <f>IF(C$14&gt;=17,J47-G47-H47,NA())</f>
        <v/>
      </c>
      <c r="J47" s="96">
        <f>IF(C$14&gt;=17,G47*(1+C$19)+IF(C$20=0,C$12*12,C$12*((1+C$20)^12-1)/C$20),NA())</f>
        <v/>
      </c>
      <c r="K47" s="96">
        <f>IF(C$14&gt;=17,K46+H47,NA())</f>
        <v/>
      </c>
      <c r="L47" s="96">
        <f>IF(C$14&gt;=17,J47/(1+C$15)^17,NA())</f>
        <v/>
      </c>
    </row>
    <row r="48">
      <c r="F48" s="95">
        <f>IF(C$14&gt;=18,18,NA())</f>
        <v/>
      </c>
      <c r="G48" s="96">
        <f>IF(C$14&gt;=18,J47,NA())</f>
        <v/>
      </c>
      <c r="H48" s="96">
        <f>IF(C$14&gt;=18,C$12*12,NA())</f>
        <v/>
      </c>
      <c r="I48" s="96">
        <f>IF(C$14&gt;=18,J48-G48-H48,NA())</f>
        <v/>
      </c>
      <c r="J48" s="96">
        <f>IF(C$14&gt;=18,G48*(1+C$19)+IF(C$20=0,C$12*12,C$12*((1+C$20)^12-1)/C$20),NA())</f>
        <v/>
      </c>
      <c r="K48" s="96">
        <f>IF(C$14&gt;=18,K47+H48,NA())</f>
        <v/>
      </c>
      <c r="L48" s="96">
        <f>IF(C$14&gt;=18,J48/(1+C$15)^18,NA())</f>
        <v/>
      </c>
    </row>
    <row r="49">
      <c r="F49" s="95">
        <f>IF(C$14&gt;=19,19,NA())</f>
        <v/>
      </c>
      <c r="G49" s="96">
        <f>IF(C$14&gt;=19,J48,NA())</f>
        <v/>
      </c>
      <c r="H49" s="96">
        <f>IF(C$14&gt;=19,C$12*12,NA())</f>
        <v/>
      </c>
      <c r="I49" s="96">
        <f>IF(C$14&gt;=19,J49-G49-H49,NA())</f>
        <v/>
      </c>
      <c r="J49" s="96">
        <f>IF(C$14&gt;=19,G49*(1+C$19)+IF(C$20=0,C$12*12,C$12*((1+C$20)^12-1)/C$20),NA())</f>
        <v/>
      </c>
      <c r="K49" s="96">
        <f>IF(C$14&gt;=19,K48+H49,NA())</f>
        <v/>
      </c>
      <c r="L49" s="96">
        <f>IF(C$14&gt;=19,J49/(1+C$15)^19,NA())</f>
        <v/>
      </c>
    </row>
    <row r="50">
      <c r="F50" s="95">
        <f>IF(C$14&gt;=20,20,NA())</f>
        <v/>
      </c>
      <c r="G50" s="96">
        <f>IF(C$14&gt;=20,J49,NA())</f>
        <v/>
      </c>
      <c r="H50" s="96">
        <f>IF(C$14&gt;=20,C$12*12,NA())</f>
        <v/>
      </c>
      <c r="I50" s="96">
        <f>IF(C$14&gt;=20,J50-G50-H50,NA())</f>
        <v/>
      </c>
      <c r="J50" s="96">
        <f>IF(C$14&gt;=20,G50*(1+C$19)+IF(C$20=0,C$12*12,C$12*((1+C$20)^12-1)/C$20),NA())</f>
        <v/>
      </c>
      <c r="K50" s="96">
        <f>IF(C$14&gt;=20,K49+H50,NA())</f>
        <v/>
      </c>
      <c r="L50" s="96">
        <f>IF(C$14&gt;=20,J50/(1+C$15)^20,NA())</f>
        <v/>
      </c>
    </row>
    <row r="51">
      <c r="F51" s="95">
        <f>IF(C$14&gt;=21,21,NA())</f>
        <v/>
      </c>
      <c r="G51" s="96">
        <f>IF(C$14&gt;=21,J50,NA())</f>
        <v/>
      </c>
      <c r="H51" s="96">
        <f>IF(C$14&gt;=21,C$12*12,NA())</f>
        <v/>
      </c>
      <c r="I51" s="96">
        <f>IF(C$14&gt;=21,J51-G51-H51,NA())</f>
        <v/>
      </c>
      <c r="J51" s="96">
        <f>IF(C$14&gt;=21,G51*(1+C$19)+IF(C$20=0,C$12*12,C$12*((1+C$20)^12-1)/C$20),NA())</f>
        <v/>
      </c>
      <c r="K51" s="96">
        <f>IF(C$14&gt;=21,K50+H51,NA())</f>
        <v/>
      </c>
      <c r="L51" s="96">
        <f>IF(C$14&gt;=21,J51/(1+C$15)^21,NA())</f>
        <v/>
      </c>
    </row>
    <row r="52">
      <c r="F52" s="95">
        <f>IF(C$14&gt;=22,22,NA())</f>
        <v/>
      </c>
      <c r="G52" s="96">
        <f>IF(C$14&gt;=22,J51,NA())</f>
        <v/>
      </c>
      <c r="H52" s="96">
        <f>IF(C$14&gt;=22,C$12*12,NA())</f>
        <v/>
      </c>
      <c r="I52" s="96">
        <f>IF(C$14&gt;=22,J52-G52-H52,NA())</f>
        <v/>
      </c>
      <c r="J52" s="96">
        <f>IF(C$14&gt;=22,G52*(1+C$19)+IF(C$20=0,C$12*12,C$12*((1+C$20)^12-1)/C$20),NA())</f>
        <v/>
      </c>
      <c r="K52" s="96">
        <f>IF(C$14&gt;=22,K51+H52,NA())</f>
        <v/>
      </c>
      <c r="L52" s="96">
        <f>IF(C$14&gt;=22,J52/(1+C$15)^22,NA())</f>
        <v/>
      </c>
    </row>
    <row r="53">
      <c r="F53" s="95">
        <f>IF(C$14&gt;=23,23,NA())</f>
        <v/>
      </c>
      <c r="G53" s="96">
        <f>IF(C$14&gt;=23,J52,NA())</f>
        <v/>
      </c>
      <c r="H53" s="96">
        <f>IF(C$14&gt;=23,C$12*12,NA())</f>
        <v/>
      </c>
      <c r="I53" s="96">
        <f>IF(C$14&gt;=23,J53-G53-H53,NA())</f>
        <v/>
      </c>
      <c r="J53" s="96">
        <f>IF(C$14&gt;=23,G53*(1+C$19)+IF(C$20=0,C$12*12,C$12*((1+C$20)^12-1)/C$20),NA())</f>
        <v/>
      </c>
      <c r="K53" s="96">
        <f>IF(C$14&gt;=23,K52+H53,NA())</f>
        <v/>
      </c>
      <c r="L53" s="96">
        <f>IF(C$14&gt;=23,J53/(1+C$15)^23,NA())</f>
        <v/>
      </c>
    </row>
    <row r="54">
      <c r="F54" s="95">
        <f>IF(C$14&gt;=24,24,NA())</f>
        <v/>
      </c>
      <c r="G54" s="96">
        <f>IF(C$14&gt;=24,J53,NA())</f>
        <v/>
      </c>
      <c r="H54" s="96">
        <f>IF(C$14&gt;=24,C$12*12,NA())</f>
        <v/>
      </c>
      <c r="I54" s="96">
        <f>IF(C$14&gt;=24,J54-G54-H54,NA())</f>
        <v/>
      </c>
      <c r="J54" s="96">
        <f>IF(C$14&gt;=24,G54*(1+C$19)+IF(C$20=0,C$12*12,C$12*((1+C$20)^12-1)/C$20),NA())</f>
        <v/>
      </c>
      <c r="K54" s="96">
        <f>IF(C$14&gt;=24,K53+H54,NA())</f>
        <v/>
      </c>
      <c r="L54" s="96">
        <f>IF(C$14&gt;=24,J54/(1+C$15)^24,NA())</f>
        <v/>
      </c>
    </row>
    <row r="55">
      <c r="F55" s="95">
        <f>IF(C$14&gt;=25,25,NA())</f>
        <v/>
      </c>
      <c r="G55" s="96">
        <f>IF(C$14&gt;=25,J54,NA())</f>
        <v/>
      </c>
      <c r="H55" s="96">
        <f>IF(C$14&gt;=25,C$12*12,NA())</f>
        <v/>
      </c>
      <c r="I55" s="96">
        <f>IF(C$14&gt;=25,J55-G55-H55,NA())</f>
        <v/>
      </c>
      <c r="J55" s="96">
        <f>IF(C$14&gt;=25,G55*(1+C$19)+IF(C$20=0,C$12*12,C$12*((1+C$20)^12-1)/C$20),NA())</f>
        <v/>
      </c>
      <c r="K55" s="96">
        <f>IF(C$14&gt;=25,K54+H55,NA())</f>
        <v/>
      </c>
      <c r="L55" s="96">
        <f>IF(C$14&gt;=25,J55/(1+C$15)^25,NA())</f>
        <v/>
      </c>
    </row>
    <row r="56">
      <c r="F56" s="95">
        <f>IF(C$14&gt;=26,26,NA())</f>
        <v/>
      </c>
      <c r="G56" s="96">
        <f>IF(C$14&gt;=26,J55,NA())</f>
        <v/>
      </c>
      <c r="H56" s="96">
        <f>IF(C$14&gt;=26,C$12*12,NA())</f>
        <v/>
      </c>
      <c r="I56" s="96">
        <f>IF(C$14&gt;=26,J56-G56-H56,NA())</f>
        <v/>
      </c>
      <c r="J56" s="96">
        <f>IF(C$14&gt;=26,G56*(1+C$19)+IF(C$20=0,C$12*12,C$12*((1+C$20)^12-1)/C$20),NA())</f>
        <v/>
      </c>
      <c r="K56" s="96">
        <f>IF(C$14&gt;=26,K55+H56,NA())</f>
        <v/>
      </c>
      <c r="L56" s="96">
        <f>IF(C$14&gt;=26,J56/(1+C$15)^26,NA())</f>
        <v/>
      </c>
    </row>
    <row r="57">
      <c r="F57" s="95">
        <f>IF(C$14&gt;=27,27,NA())</f>
        <v/>
      </c>
      <c r="G57" s="96">
        <f>IF(C$14&gt;=27,J56,NA())</f>
        <v/>
      </c>
      <c r="H57" s="96">
        <f>IF(C$14&gt;=27,C$12*12,NA())</f>
        <v/>
      </c>
      <c r="I57" s="96">
        <f>IF(C$14&gt;=27,J57-G57-H57,NA())</f>
        <v/>
      </c>
      <c r="J57" s="96">
        <f>IF(C$14&gt;=27,G57*(1+C$19)+IF(C$20=0,C$12*12,C$12*((1+C$20)^12-1)/C$20),NA())</f>
        <v/>
      </c>
      <c r="K57" s="96">
        <f>IF(C$14&gt;=27,K56+H57,NA())</f>
        <v/>
      </c>
      <c r="L57" s="96">
        <f>IF(C$14&gt;=27,J57/(1+C$15)^27,NA())</f>
        <v/>
      </c>
    </row>
    <row r="58">
      <c r="F58" s="95">
        <f>IF(C$14&gt;=28,28,NA())</f>
        <v/>
      </c>
      <c r="G58" s="96">
        <f>IF(C$14&gt;=28,J57,NA())</f>
        <v/>
      </c>
      <c r="H58" s="96">
        <f>IF(C$14&gt;=28,C$12*12,NA())</f>
        <v/>
      </c>
      <c r="I58" s="96">
        <f>IF(C$14&gt;=28,J58-G58-H58,NA())</f>
        <v/>
      </c>
      <c r="J58" s="96">
        <f>IF(C$14&gt;=28,G58*(1+C$19)+IF(C$20=0,C$12*12,C$12*((1+C$20)^12-1)/C$20),NA())</f>
        <v/>
      </c>
      <c r="K58" s="96">
        <f>IF(C$14&gt;=28,K57+H58,NA())</f>
        <v/>
      </c>
      <c r="L58" s="96">
        <f>IF(C$14&gt;=28,J58/(1+C$15)^28,NA())</f>
        <v/>
      </c>
    </row>
    <row r="59">
      <c r="F59" s="95">
        <f>IF(C$14&gt;=29,29,NA())</f>
        <v/>
      </c>
      <c r="G59" s="96">
        <f>IF(C$14&gt;=29,J58,NA())</f>
        <v/>
      </c>
      <c r="H59" s="96">
        <f>IF(C$14&gt;=29,C$12*12,NA())</f>
        <v/>
      </c>
      <c r="I59" s="96">
        <f>IF(C$14&gt;=29,J59-G59-H59,NA())</f>
        <v/>
      </c>
      <c r="J59" s="96">
        <f>IF(C$14&gt;=29,G59*(1+C$19)+IF(C$20=0,C$12*12,C$12*((1+C$20)^12-1)/C$20),NA())</f>
        <v/>
      </c>
      <c r="K59" s="96">
        <f>IF(C$14&gt;=29,K58+H59,NA())</f>
        <v/>
      </c>
      <c r="L59" s="96">
        <f>IF(C$14&gt;=29,J59/(1+C$15)^29,NA())</f>
        <v/>
      </c>
    </row>
    <row r="60">
      <c r="F60" s="95">
        <f>IF(C$14&gt;=30,30,NA())</f>
        <v/>
      </c>
      <c r="G60" s="96">
        <f>IF(C$14&gt;=30,J59,NA())</f>
        <v/>
      </c>
      <c r="H60" s="96">
        <f>IF(C$14&gt;=30,C$12*12,NA())</f>
        <v/>
      </c>
      <c r="I60" s="96">
        <f>IF(C$14&gt;=30,J60-G60-H60,NA())</f>
        <v/>
      </c>
      <c r="J60" s="96">
        <f>IF(C$14&gt;=30,G60*(1+C$19)+IF(C$20=0,C$12*12,C$12*((1+C$20)^12-1)/C$20),NA())</f>
        <v/>
      </c>
      <c r="K60" s="96">
        <f>IF(C$14&gt;=30,K59+H60,NA())</f>
        <v/>
      </c>
      <c r="L60" s="96">
        <f>IF(C$14&gt;=30,J60/(1+C$15)^30,NA())</f>
        <v/>
      </c>
    </row>
    <row r="61">
      <c r="F61" s="95">
        <f>IF(C$14&gt;=31,31,NA())</f>
        <v/>
      </c>
      <c r="G61" s="96">
        <f>IF(C$14&gt;=31,J60,NA())</f>
        <v/>
      </c>
      <c r="H61" s="96">
        <f>IF(C$14&gt;=31,C$12*12,NA())</f>
        <v/>
      </c>
      <c r="I61" s="96">
        <f>IF(C$14&gt;=31,J61-G61-H61,NA())</f>
        <v/>
      </c>
      <c r="J61" s="96">
        <f>IF(C$14&gt;=31,G61*(1+C$19)+IF(C$20=0,C$12*12,C$12*((1+C$20)^12-1)/C$20),NA())</f>
        <v/>
      </c>
      <c r="K61" s="96">
        <f>IF(C$14&gt;=31,K60+H61,NA())</f>
        <v/>
      </c>
      <c r="L61" s="96">
        <f>IF(C$14&gt;=31,J61/(1+C$15)^31,NA())</f>
        <v/>
      </c>
    </row>
    <row r="62">
      <c r="F62" s="95">
        <f>IF(C$14&gt;=32,32,NA())</f>
        <v/>
      </c>
      <c r="G62" s="96">
        <f>IF(C$14&gt;=32,J61,NA())</f>
        <v/>
      </c>
      <c r="H62" s="96">
        <f>IF(C$14&gt;=32,C$12*12,NA())</f>
        <v/>
      </c>
      <c r="I62" s="96">
        <f>IF(C$14&gt;=32,J62-G62-H62,NA())</f>
        <v/>
      </c>
      <c r="J62" s="96">
        <f>IF(C$14&gt;=32,G62*(1+C$19)+IF(C$20=0,C$12*12,C$12*((1+C$20)^12-1)/C$20),NA())</f>
        <v/>
      </c>
      <c r="K62" s="96">
        <f>IF(C$14&gt;=32,K61+H62,NA())</f>
        <v/>
      </c>
      <c r="L62" s="96">
        <f>IF(C$14&gt;=32,J62/(1+C$15)^32,NA())</f>
        <v/>
      </c>
    </row>
    <row r="63">
      <c r="F63" s="95">
        <f>IF(C$14&gt;=33,33,NA())</f>
        <v/>
      </c>
      <c r="G63" s="96">
        <f>IF(C$14&gt;=33,J62,NA())</f>
        <v/>
      </c>
      <c r="H63" s="96">
        <f>IF(C$14&gt;=33,C$12*12,NA())</f>
        <v/>
      </c>
      <c r="I63" s="96">
        <f>IF(C$14&gt;=33,J63-G63-H63,NA())</f>
        <v/>
      </c>
      <c r="J63" s="96">
        <f>IF(C$14&gt;=33,G63*(1+C$19)+IF(C$20=0,C$12*12,C$12*((1+C$20)^12-1)/C$20),NA())</f>
        <v/>
      </c>
      <c r="K63" s="96">
        <f>IF(C$14&gt;=33,K62+H63,NA())</f>
        <v/>
      </c>
      <c r="L63" s="96">
        <f>IF(C$14&gt;=33,J63/(1+C$15)^33,NA())</f>
        <v/>
      </c>
    </row>
    <row r="64">
      <c r="F64" s="95">
        <f>IF(C$14&gt;=34,34,NA())</f>
        <v/>
      </c>
      <c r="G64" s="96">
        <f>IF(C$14&gt;=34,J63,NA())</f>
        <v/>
      </c>
      <c r="H64" s="96">
        <f>IF(C$14&gt;=34,C$12*12,NA())</f>
        <v/>
      </c>
      <c r="I64" s="96">
        <f>IF(C$14&gt;=34,J64-G64-H64,NA())</f>
        <v/>
      </c>
      <c r="J64" s="96">
        <f>IF(C$14&gt;=34,G64*(1+C$19)+IF(C$20=0,C$12*12,C$12*((1+C$20)^12-1)/C$20),NA())</f>
        <v/>
      </c>
      <c r="K64" s="96">
        <f>IF(C$14&gt;=34,K63+H64,NA())</f>
        <v/>
      </c>
      <c r="L64" s="96">
        <f>IF(C$14&gt;=34,J64/(1+C$15)^34,NA())</f>
        <v/>
      </c>
    </row>
    <row r="65">
      <c r="F65" s="95">
        <f>IF(C$14&gt;=35,35,NA())</f>
        <v/>
      </c>
      <c r="G65" s="96">
        <f>IF(C$14&gt;=35,J64,NA())</f>
        <v/>
      </c>
      <c r="H65" s="96">
        <f>IF(C$14&gt;=35,C$12*12,NA())</f>
        <v/>
      </c>
      <c r="I65" s="96">
        <f>IF(C$14&gt;=35,J65-G65-H65,NA())</f>
        <v/>
      </c>
      <c r="J65" s="96">
        <f>IF(C$14&gt;=35,G65*(1+C$19)+IF(C$20=0,C$12*12,C$12*((1+C$20)^12-1)/C$20),NA())</f>
        <v/>
      </c>
      <c r="K65" s="96">
        <f>IF(C$14&gt;=35,K64+H65,NA())</f>
        <v/>
      </c>
      <c r="L65" s="96">
        <f>IF(C$14&gt;=35,J65/(1+C$15)^35,NA())</f>
        <v/>
      </c>
    </row>
    <row r="66">
      <c r="F66" s="95">
        <f>IF(C$14&gt;=36,36,NA())</f>
        <v/>
      </c>
      <c r="G66" s="96">
        <f>IF(C$14&gt;=36,J65,NA())</f>
        <v/>
      </c>
      <c r="H66" s="96">
        <f>IF(C$14&gt;=36,C$12*12,NA())</f>
        <v/>
      </c>
      <c r="I66" s="96">
        <f>IF(C$14&gt;=36,J66-G66-H66,NA())</f>
        <v/>
      </c>
      <c r="J66" s="96">
        <f>IF(C$14&gt;=36,G66*(1+C$19)+IF(C$20=0,C$12*12,C$12*((1+C$20)^12-1)/C$20),NA())</f>
        <v/>
      </c>
      <c r="K66" s="96">
        <f>IF(C$14&gt;=36,K65+H66,NA())</f>
        <v/>
      </c>
      <c r="L66" s="96">
        <f>IF(C$14&gt;=36,J66/(1+C$15)^36,NA())</f>
        <v/>
      </c>
    </row>
    <row r="67">
      <c r="F67" s="95">
        <f>IF(C$14&gt;=37,37,NA())</f>
        <v/>
      </c>
      <c r="G67" s="96">
        <f>IF(C$14&gt;=37,J66,NA())</f>
        <v/>
      </c>
      <c r="H67" s="96">
        <f>IF(C$14&gt;=37,C$12*12,NA())</f>
        <v/>
      </c>
      <c r="I67" s="96">
        <f>IF(C$14&gt;=37,J67-G67-H67,NA())</f>
        <v/>
      </c>
      <c r="J67" s="96">
        <f>IF(C$14&gt;=37,G67*(1+C$19)+IF(C$20=0,C$12*12,C$12*((1+C$20)^12-1)/C$20),NA())</f>
        <v/>
      </c>
      <c r="K67" s="96">
        <f>IF(C$14&gt;=37,K66+H67,NA())</f>
        <v/>
      </c>
      <c r="L67" s="96">
        <f>IF(C$14&gt;=37,J67/(1+C$15)^37,NA())</f>
        <v/>
      </c>
    </row>
    <row r="68">
      <c r="F68" s="95">
        <f>IF(C$14&gt;=38,38,NA())</f>
        <v/>
      </c>
      <c r="G68" s="96">
        <f>IF(C$14&gt;=38,J67,NA())</f>
        <v/>
      </c>
      <c r="H68" s="96">
        <f>IF(C$14&gt;=38,C$12*12,NA())</f>
        <v/>
      </c>
      <c r="I68" s="96">
        <f>IF(C$14&gt;=38,J68-G68-H68,NA())</f>
        <v/>
      </c>
      <c r="J68" s="96">
        <f>IF(C$14&gt;=38,G68*(1+C$19)+IF(C$20=0,C$12*12,C$12*((1+C$20)^12-1)/C$20),NA())</f>
        <v/>
      </c>
      <c r="K68" s="96">
        <f>IF(C$14&gt;=38,K67+H68,NA())</f>
        <v/>
      </c>
      <c r="L68" s="96">
        <f>IF(C$14&gt;=38,J68/(1+C$15)^38,NA())</f>
        <v/>
      </c>
    </row>
    <row r="69">
      <c r="F69" s="95">
        <f>IF(C$14&gt;=39,39,NA())</f>
        <v/>
      </c>
      <c r="G69" s="96">
        <f>IF(C$14&gt;=39,J68,NA())</f>
        <v/>
      </c>
      <c r="H69" s="96">
        <f>IF(C$14&gt;=39,C$12*12,NA())</f>
        <v/>
      </c>
      <c r="I69" s="96">
        <f>IF(C$14&gt;=39,J69-G69-H69,NA())</f>
        <v/>
      </c>
      <c r="J69" s="96">
        <f>IF(C$14&gt;=39,G69*(1+C$19)+IF(C$20=0,C$12*12,C$12*((1+C$20)^12-1)/C$20),NA())</f>
        <v/>
      </c>
      <c r="K69" s="96">
        <f>IF(C$14&gt;=39,K68+H69,NA())</f>
        <v/>
      </c>
      <c r="L69" s="96">
        <f>IF(C$14&gt;=39,J69/(1+C$15)^39,NA())</f>
        <v/>
      </c>
    </row>
    <row r="70">
      <c r="F70" s="95">
        <f>IF(C$14&gt;=40,40,NA())</f>
        <v/>
      </c>
      <c r="G70" s="96">
        <f>IF(C$14&gt;=40,J69,NA())</f>
        <v/>
      </c>
      <c r="H70" s="96">
        <f>IF(C$14&gt;=40,C$12*12,NA())</f>
        <v/>
      </c>
      <c r="I70" s="96">
        <f>IF(C$14&gt;=40,J70-G70-H70,NA())</f>
        <v/>
      </c>
      <c r="J70" s="96">
        <f>IF(C$14&gt;=40,G70*(1+C$19)+IF(C$20=0,C$12*12,C$12*((1+C$20)^12-1)/C$20),NA())</f>
        <v/>
      </c>
      <c r="K70" s="96">
        <f>IF(C$14&gt;=40,K69+H70,NA())</f>
        <v/>
      </c>
      <c r="L70" s="96">
        <f>IF(C$14&gt;=40,J70/(1+C$15)^40,NA())</f>
        <v/>
      </c>
    </row>
    <row r="72">
      <c r="B72" s="33" t="inlineStr">
        <is>
          <t>Je maandelijkse inleg is gekoppeld aan je overschot in 'Cashflow Overzicht'; kies 'Nee' bij de koppeling hierboven om je eigen bedrag te gebruiken.</t>
        </is>
      </c>
    </row>
    <row r="73">
      <c r="B73" s="33" t="inlineStr">
        <is>
          <t>De projectie rekent met maandelijkse bijstortingen en samengestelde groei op basis van het rendement ná kosten.</t>
        </is>
      </c>
    </row>
    <row r="74">
      <c r="B74" s="33" t="inlineStr">
        <is>
          <t>Deze tool is uitsluitend bedoeld voor informatieve doeleinden en biedt geen financieel advies. Rendementen uit het verleden bieden geen garantie voor de toekomst.</t>
        </is>
      </c>
    </row>
  </sheetData>
  <sheetProtection selectLockedCells="0" selectUnlockedCells="0" sheet="1" objects="0" insertRows="1" insertHyperlinks="1" autoFilter="1" scenarios="0" formatColumns="1" deleteColumns="1" insertColumns="1" pivotTables="1" deleteRows="1" formatCells="1" formatRows="1" sort="1"/>
  <mergeCells count="9">
    <mergeCell ref="B10:D10"/>
    <mergeCell ref="B72:D72"/>
    <mergeCell ref="B3:D3"/>
    <mergeCell ref="B5:D5"/>
    <mergeCell ref="B22:D22"/>
    <mergeCell ref="B18:D18"/>
    <mergeCell ref="B73:D73"/>
    <mergeCell ref="B74:D74"/>
    <mergeCell ref="B2:D2"/>
  </mergeCells>
  <conditionalFormatting sqref="F30:L70">
    <cfRule type="expression" priority="1" dxfId="7">
      <formula>ISNA(F30)</formula>
    </cfRule>
  </conditionalFormatting>
  <dataValidations count="2">
    <dataValidation sqref="C7" showDropDown="0" showInputMessage="0" showErrorMessage="0" allowBlank="0" errorTitle="Ongeldige invoer" error="Kies Ja of Nee." type="list">
      <formula1>"Ja,Nee"</formula1>
    </dataValidation>
    <dataValidation sqref="C14" showDropDown="0" showInputMessage="0" showErrorMessage="0" allowBlank="0" errorTitle="Ongeldige looptijd" error="Vul een aantal jaren tussen 0 en 40 in." type="whole" operator="between">
      <formula1>0</formula1>
      <formula2>40</formula2>
    </dataValidation>
  </dataValidations>
  <pageMargins left="0.75" right="0.75" top="1" bottom="1" header="0.5" footer="0.5"/>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Geldplanner</dc:creator>
  <dc:title>Geldplanner — persoonlijke financien</dc:title>
  <dc:description>Deze tool is uitsluitend bedoeld voor informatieve doeleinden en biedt geen financieel advies.</dc:description>
  <dc:subject>Dashboard, cashflow, pensioengat en vermogensgroei</dc:subject>
  <dc:language>nl-NL</dc:language>
  <dcterms:created xsi:type="dcterms:W3CDTF">2026-08-23T16:43:07Z</dcterms:created>
  <dcterms:modified xsi:type="dcterms:W3CDTF">2026-08-23T16:43:07Z</dcterms:modified>
</cp:coreProperties>
</file>